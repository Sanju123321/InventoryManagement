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40" windowWidth="19420" windowHeight="11020" firstSheet="1" activeTab="1"/>
  </bookViews>
  <sheets>
    <sheet name="tawheed" sheetId="1" state="hidden" r:id="rId1"/>
    <sheet name="LTD" sheetId="2" r:id="rId2"/>
    <sheet name="UNI" sheetId="3" state="hidden" r:id="rId3"/>
    <sheet name="NOORVEX" sheetId="4" state="hidden" r:id="rId4"/>
    <sheet name="KEMTEX CMEMICALS" sheetId="5" state="hidden" r:id="rId5"/>
  </sheets>
  <definedNames>
    <definedName name="_xlnm._FilterDatabase" localSheetId="4" hidden="1">'KEMTEX CMEMICALS'!$A$3:$I$3</definedName>
    <definedName name="_xlnm._FilterDatabase" localSheetId="1" hidden="1">LTD!$A$4:$H$299</definedName>
    <definedName name="_xlnm._FilterDatabase" localSheetId="3" hidden="1">NOORVEX!$A$8:$I$8</definedName>
    <definedName name="_xlnm._FilterDatabase" localSheetId="0" hidden="1">tawheed!$A$8:$H$8</definedName>
    <definedName name="_xlnm._FilterDatabase" localSheetId="2" hidden="1">UNI!$A$4:$I$4</definedName>
  </definedNames>
  <calcPr calcId="124519"/>
</workbook>
</file>

<file path=xl/calcChain.xml><?xml version="1.0" encoding="utf-8"?>
<calcChain xmlns="http://schemas.openxmlformats.org/spreadsheetml/2006/main">
  <c r="G131" i="2"/>
  <c r="G149"/>
  <c r="G132"/>
  <c r="L77" i="5"/>
  <c r="J77"/>
  <c r="L25"/>
  <c r="J25"/>
  <c r="L48"/>
  <c r="K48"/>
  <c r="K79" s="1"/>
  <c r="J48"/>
  <c r="H21" i="4"/>
  <c r="H13"/>
  <c r="H12"/>
  <c r="J78" i="5"/>
  <c r="L78"/>
  <c r="L73"/>
  <c r="J73"/>
  <c r="L72"/>
  <c r="J72"/>
  <c r="L68"/>
  <c r="J68"/>
  <c r="L63"/>
  <c r="J63"/>
  <c r="L57"/>
  <c r="J57"/>
  <c r="L55"/>
  <c r="J55"/>
  <c r="L54"/>
  <c r="J54"/>
  <c r="L53"/>
  <c r="J53"/>
  <c r="L46"/>
  <c r="J46"/>
  <c r="L45"/>
  <c r="J45"/>
  <c r="L37"/>
  <c r="J37"/>
  <c r="L33"/>
  <c r="J33"/>
  <c r="L32"/>
  <c r="J32"/>
  <c r="L27"/>
  <c r="J27"/>
  <c r="L23"/>
  <c r="J23"/>
  <c r="L18"/>
  <c r="J18"/>
  <c r="L15"/>
  <c r="J15"/>
  <c r="L10"/>
  <c r="J10"/>
  <c r="L9"/>
  <c r="J9"/>
  <c r="L5"/>
  <c r="J5"/>
  <c r="I79"/>
  <c r="G79"/>
  <c r="J79" l="1"/>
  <c r="L79"/>
  <c r="I49" i="3"/>
  <c r="G49"/>
  <c r="L48"/>
  <c r="J48"/>
  <c r="L47"/>
  <c r="J47"/>
  <c r="L43"/>
  <c r="K43"/>
  <c r="J43"/>
  <c r="L42"/>
  <c r="K42"/>
  <c r="J42"/>
  <c r="L41"/>
  <c r="J41"/>
  <c r="L38"/>
  <c r="J38"/>
  <c r="L36"/>
  <c r="J36"/>
  <c r="L30"/>
  <c r="J30"/>
  <c r="L27"/>
  <c r="J27"/>
  <c r="L25"/>
  <c r="J25"/>
  <c r="L22"/>
  <c r="J22"/>
  <c r="L19"/>
  <c r="J19"/>
  <c r="L17"/>
  <c r="J17"/>
  <c r="L15"/>
  <c r="J15"/>
  <c r="L14"/>
  <c r="J14"/>
  <c r="J49" l="1"/>
  <c r="L49"/>
  <c r="G42" i="1"/>
  <c r="F42"/>
  <c r="H42"/>
</calcChain>
</file>

<file path=xl/sharedStrings.xml><?xml version="1.0" encoding="utf-8"?>
<sst xmlns="http://schemas.openxmlformats.org/spreadsheetml/2006/main" count="2111" uniqueCount="330">
  <si>
    <t>TAWHEED CORPORATION</t>
  </si>
  <si>
    <t>PLOT NO. 74, ST. NO. 7, RAMANDEEP COLONY</t>
  </si>
  <si>
    <t>NEAR NAYARA PETROL PUMP, MUNDIAN KALAN</t>
  </si>
  <si>
    <t>LUDHIANA</t>
  </si>
  <si>
    <t>Sale Book (Checklist)</t>
  </si>
  <si>
    <t>Period : 01/04/2026 To 30/04/2026</t>
  </si>
  <si>
    <t>Invoice No.</t>
  </si>
  <si>
    <t>Date</t>
  </si>
  <si>
    <t>Amount</t>
  </si>
  <si>
    <t>UOM</t>
  </si>
  <si>
    <t>Account Name</t>
  </si>
  <si>
    <t>Product Name</t>
  </si>
  <si>
    <t>State</t>
  </si>
  <si>
    <t>Qty.</t>
  </si>
  <si>
    <t>Rate</t>
  </si>
  <si>
    <t xml:space="preserve">LTR   </t>
  </si>
  <si>
    <t xml:space="preserve">AKASH KNITWEARS  UNIT 2                                     </t>
  </si>
  <si>
    <t xml:space="preserve">Punjab                        </t>
  </si>
  <si>
    <t xml:space="preserve">AARON FABRICS                                               </t>
  </si>
  <si>
    <t xml:space="preserve">SURYA TEXTILE MILLS                                         </t>
  </si>
  <si>
    <t xml:space="preserve">Kemtex Aw 68                                      </t>
  </si>
  <si>
    <t xml:space="preserve">SHRI SUDHA FABRICS                                          </t>
  </si>
  <si>
    <t xml:space="preserve">MARRINO TEX CRAFT                                           </t>
  </si>
  <si>
    <t xml:space="preserve">Kemtex Gear Sf-150                                </t>
  </si>
  <si>
    <t xml:space="preserve">SHRI RAM KNIT FAB                                           </t>
  </si>
  <si>
    <t xml:space="preserve">SKY CLOTHING CO                                             </t>
  </si>
  <si>
    <t xml:space="preserve">SHREY FABRICS                                               </t>
  </si>
  <si>
    <t xml:space="preserve">PCS   </t>
  </si>
  <si>
    <t xml:space="preserve">V2V EXPORTS INDUSTRIES PRIVATE LIMITED                      </t>
  </si>
  <si>
    <t xml:space="preserve">SURYA KNITWEAR                                              </t>
  </si>
  <si>
    <t xml:space="preserve">L K SPORTS                                                  </t>
  </si>
  <si>
    <t xml:space="preserve">RAGHAV ENTERPRISES                                          </t>
  </si>
  <si>
    <t xml:space="preserve">K-knit Wash Ox 22                                 </t>
  </si>
  <si>
    <t xml:space="preserve">NANDA SPINNING LLP                                          </t>
  </si>
  <si>
    <t xml:space="preserve">OM KNIT FAB                                                 </t>
  </si>
  <si>
    <t xml:space="preserve">Kemtex Compressior 20w40                          </t>
  </si>
  <si>
    <t xml:space="preserve">Kemtex Flush Clean 30                             </t>
  </si>
  <si>
    <t xml:space="preserve">PREMIER FABRICS                                             </t>
  </si>
  <si>
    <t xml:space="preserve">Kemtex Gear 100                                   </t>
  </si>
  <si>
    <t xml:space="preserve">A TO Z GARMENTS                                             </t>
  </si>
  <si>
    <t xml:space="preserve">Kemtex Sewing 70  ( Sewing Machine Oil )          </t>
  </si>
  <si>
    <t xml:space="preserve">ANANT KNIT FAB                                              </t>
  </si>
  <si>
    <t xml:space="preserve">NAVKAR HOSIERY WOOLLEN MILLS                                </t>
  </si>
  <si>
    <t xml:space="preserve">KAPOOR KNIT                                                 </t>
  </si>
  <si>
    <t xml:space="preserve">V K FABRICS                                                 </t>
  </si>
  <si>
    <t xml:space="preserve">OM KNITS                                                    </t>
  </si>
  <si>
    <t xml:space="preserve">S N MIGLANI HOSIERY                                         </t>
  </si>
  <si>
    <t xml:space="preserve">EMM SONS KNITWEAR                                           </t>
  </si>
  <si>
    <t xml:space="preserve">J C BUDHIRAJA HOSIERY                                       </t>
  </si>
  <si>
    <t xml:space="preserve">NEVA GARMENTS LTD                                           </t>
  </si>
  <si>
    <t xml:space="preserve">AGGARWAL ENTERPRISES                                        </t>
  </si>
  <si>
    <t xml:space="preserve">Haryana                       </t>
  </si>
  <si>
    <t xml:space="preserve">Kemtex Gear 150                                   </t>
  </si>
  <si>
    <t xml:space="preserve">MAA FABRICS                                                 </t>
  </si>
  <si>
    <t xml:space="preserve">D R    SONS                                                 </t>
  </si>
  <si>
    <t xml:space="preserve">LUCKY FABRICS                                               </t>
  </si>
  <si>
    <t xml:space="preserve">JAY BEE WOOLLEN MILLS                                       </t>
  </si>
  <si>
    <t xml:space="preserve">HINGLAJ PROCESSOR                                           </t>
  </si>
  <si>
    <t xml:space="preserve">Kemtex Xjl Chain Oil                              </t>
  </si>
  <si>
    <t xml:space="preserve">KPL-11                   </t>
  </si>
  <si>
    <t xml:space="preserve">NAVKAR DYEING   FINISHING MILLS                             </t>
  </si>
  <si>
    <t xml:space="preserve">Kemtex K-aca                                      </t>
  </si>
  <si>
    <t xml:space="preserve">KGS   </t>
  </si>
  <si>
    <t xml:space="preserve">Kemtex K-soft                                     </t>
  </si>
  <si>
    <t xml:space="preserve">KPL-12                   </t>
  </si>
  <si>
    <t xml:space="preserve">SUPERFINE KNITTER LIMITED                                   </t>
  </si>
  <si>
    <t xml:space="preserve">Kemtex K-keta Sil                                 </t>
  </si>
  <si>
    <t xml:space="preserve">SP INDUSTRIES                                               </t>
  </si>
  <si>
    <t xml:space="preserve">RG MERCHANDISER                                             </t>
  </si>
  <si>
    <t xml:space="preserve">Kemtex Gear 680                                   </t>
  </si>
  <si>
    <t xml:space="preserve">NARESH FABRICS I                                            </t>
  </si>
  <si>
    <t xml:space="preserve">VARDHMAN JAIN FABRICS                                       </t>
  </si>
  <si>
    <t xml:space="preserve">KPL-17                   </t>
  </si>
  <si>
    <t xml:space="preserve">Kemtex K-sr 2000                                  </t>
  </si>
  <si>
    <t xml:space="preserve">Kemtex K-hasoap                                   </t>
  </si>
  <si>
    <t xml:space="preserve">S P EXPORTS                                                 </t>
  </si>
  <si>
    <t xml:space="preserve">KPL-19                   </t>
  </si>
  <si>
    <t xml:space="preserve">WOOL WORTH INDIA                                            </t>
  </si>
  <si>
    <t xml:space="preserve">Kemtex K-sili Jj 68                               </t>
  </si>
  <si>
    <t xml:space="preserve">JAWAHAR TEXTILE                                             </t>
  </si>
  <si>
    <t xml:space="preserve">Kemtex Hi Temp Red Gel Grease                     </t>
  </si>
  <si>
    <t xml:space="preserve">Kemtex Gear Sf 150                                </t>
  </si>
  <si>
    <t xml:space="preserve">J J  INDUSTRIES                                             </t>
  </si>
  <si>
    <t xml:space="preserve">Kemtex Gear Sf 100                                </t>
  </si>
  <si>
    <t xml:space="preserve">YASH TEXTILE MILL                                           </t>
  </si>
  <si>
    <t xml:space="preserve">KPL-23                   </t>
  </si>
  <si>
    <t xml:space="preserve">DENIMOZ INTERNATIONAL PRIVATE LIMITED                       </t>
  </si>
  <si>
    <t xml:space="preserve">Kemtex Kemzyme Pd 350                             </t>
  </si>
  <si>
    <t xml:space="preserve">Kemtex K-sili Pdr 400                             </t>
  </si>
  <si>
    <t xml:space="preserve">Kemtex K-wett C+                                  </t>
  </si>
  <si>
    <t xml:space="preserve">ZINNY SALES                                                 </t>
  </si>
  <si>
    <t xml:space="preserve">KHUSHBOO ENTERPRISES                                        </t>
  </si>
  <si>
    <t xml:space="preserve">PURURAJ FABRICS                                             </t>
  </si>
  <si>
    <t xml:space="preserve">K-knit Wash Tt Ultra Lprm W-22                    </t>
  </si>
  <si>
    <t xml:space="preserve">West Bengal                   </t>
  </si>
  <si>
    <t xml:space="preserve">RICKY FABRICS                                               </t>
  </si>
  <si>
    <t xml:space="preserve">AMIT TEXTILES                                               </t>
  </si>
  <si>
    <t xml:space="preserve">Kemtex  Gear 220                                  </t>
  </si>
  <si>
    <t xml:space="preserve">S T S KNIT FABRIC                                           </t>
  </si>
  <si>
    <t xml:space="preserve">Kemtex Grease Ap-3 Gel                            </t>
  </si>
  <si>
    <t xml:space="preserve">KPL-32                   </t>
  </si>
  <si>
    <t xml:space="preserve">Kemtex K-dft C+                                   </t>
  </si>
  <si>
    <t xml:space="preserve">KPL-33                   </t>
  </si>
  <si>
    <t xml:space="preserve">SHRI GOPAL JI DYEING HOUSE  I UNIT                          </t>
  </si>
  <si>
    <t xml:space="preserve">Kemtex Kac Lube                                   </t>
  </si>
  <si>
    <t xml:space="preserve">MAKE WAY KNIT FAB                                           </t>
  </si>
  <si>
    <t xml:space="preserve">USABH KNIT FAB                                              </t>
  </si>
  <si>
    <t xml:space="preserve">Kemtex K-pla                                      </t>
  </si>
  <si>
    <t xml:space="preserve">Kemtex K-sili A 249                               </t>
  </si>
  <si>
    <t xml:space="preserve">Kemtex K-sili A 555                               </t>
  </si>
  <si>
    <t xml:space="preserve">Kemtex K-sili Gold 7000                           </t>
  </si>
  <si>
    <t xml:space="preserve">SBC EXPORT LIMITED                                          </t>
  </si>
  <si>
    <t xml:space="preserve">Uttar Pradesh                 </t>
  </si>
  <si>
    <t xml:space="preserve">K-knit Wash Tt Ultra 32                           </t>
  </si>
  <si>
    <t xml:space="preserve">Kemtex Flush Clean 700                            </t>
  </si>
  <si>
    <t xml:space="preserve">NITYA FIBRES PRIVATE LIMITED                                </t>
  </si>
  <si>
    <t xml:space="preserve">SUNRISE DYERS   PROCESSORS PVT LTD                          </t>
  </si>
  <si>
    <t xml:space="preserve">Kemtex Gear Oil 140                               </t>
  </si>
  <si>
    <t xml:space="preserve">ADIYOGI CREATIONS                                           </t>
  </si>
  <si>
    <t xml:space="preserve">KPL-42                   </t>
  </si>
  <si>
    <t xml:space="preserve">Kemtex Krls                                       </t>
  </si>
  <si>
    <t xml:space="preserve">Kemtex K Acl 1000                                 </t>
  </si>
  <si>
    <t xml:space="preserve">AGGARWAL CREATIONS                                          </t>
  </si>
  <si>
    <t xml:space="preserve">JAGDAMBA ENTERPRISES                                        </t>
  </si>
  <si>
    <t xml:space="preserve">B L  ENTERPRISES                                            </t>
  </si>
  <si>
    <t xml:space="preserve">KPL-55                   </t>
  </si>
  <si>
    <t xml:space="preserve">SAPNA TRADING COMPANY                                       </t>
  </si>
  <si>
    <t xml:space="preserve">K S TANGRI FINISHING   TEXTILE MILLS                        </t>
  </si>
  <si>
    <t xml:space="preserve">MISHRA   SONS                                               </t>
  </si>
  <si>
    <t xml:space="preserve">GS INTERNATIONAL                                            </t>
  </si>
  <si>
    <t xml:space="preserve">Kemtex Knit Wash 22                               </t>
  </si>
  <si>
    <t xml:space="preserve">KPL-60                   </t>
  </si>
  <si>
    <t xml:space="preserve">ADINATH KNIT                                                </t>
  </si>
  <si>
    <t xml:space="preserve">KPL-61                   </t>
  </si>
  <si>
    <t xml:space="preserve">UPMA KNIT FAB                                               </t>
  </si>
  <si>
    <t xml:space="preserve">OCEAN KNIT FAB                                              </t>
  </si>
  <si>
    <t xml:space="preserve">M S AUTO CENTRE                                             </t>
  </si>
  <si>
    <t xml:space="preserve">Kemtex K-sili Ss49                                </t>
  </si>
  <si>
    <t xml:space="preserve">Kemtex Knit Wash Ultra 22                         </t>
  </si>
  <si>
    <t xml:space="preserve">KPL-68                   </t>
  </si>
  <si>
    <t xml:space="preserve">Kemtex K-sequest                                  </t>
  </si>
  <si>
    <t xml:space="preserve">SAGAR UDYOG                                                 </t>
  </si>
  <si>
    <t xml:space="preserve">TRIDEV KNIT FAB                                             </t>
  </si>
  <si>
    <t xml:space="preserve">M S R S GUPTA FABRICS                                       </t>
  </si>
  <si>
    <t xml:space="preserve">S V B HOSIERY WORKS                                         </t>
  </si>
  <si>
    <t xml:space="preserve">GRV TEXTILE MILLS                                           </t>
  </si>
  <si>
    <t xml:space="preserve">Kemtex Kncw Soap                                  </t>
  </si>
  <si>
    <t xml:space="preserve">Kemtex K-fix C+                                   </t>
  </si>
  <si>
    <t xml:space="preserve">Kemtex Kac 101p.                                  </t>
  </si>
  <si>
    <t xml:space="preserve">HIMACHAL WOOLLEN MILLS                                      </t>
  </si>
  <si>
    <t xml:space="preserve">INDRA HOSIERY MILLS                                         </t>
  </si>
  <si>
    <t xml:space="preserve">A G INTERNATIONAL                                           </t>
  </si>
  <si>
    <t xml:space="preserve">ADISH FABRICS                                               </t>
  </si>
  <si>
    <t xml:space="preserve">V P THAMMAN HOSIERY                                         </t>
  </si>
  <si>
    <t xml:space="preserve">ANSH PROCESSORS                                             </t>
  </si>
  <si>
    <t xml:space="preserve">KPL-92                   </t>
  </si>
  <si>
    <t xml:space="preserve">KAUSHIK KNITWEARS                                           </t>
  </si>
  <si>
    <t xml:space="preserve">SHIVAAY FABRICS                                             </t>
  </si>
  <si>
    <t xml:space="preserve">K-ht Grease 3500                                  </t>
  </si>
  <si>
    <t xml:space="preserve">JIGYASA KNITWEAR                                            </t>
  </si>
  <si>
    <t xml:space="preserve">KARAN FABRICS                                               </t>
  </si>
  <si>
    <t xml:space="preserve">TANUJ ENTERPRISES                                           </t>
  </si>
  <si>
    <t xml:space="preserve">Kemtex Gear 320                                   </t>
  </si>
  <si>
    <t xml:space="preserve">VISHAL ENTERPRISES                                          </t>
  </si>
  <si>
    <t xml:space="preserve">KPL-103                  </t>
  </si>
  <si>
    <t xml:space="preserve">Kemex K-hrd 1045                                  </t>
  </si>
  <si>
    <t xml:space="preserve">SAFFRON KNITWEAR                                            </t>
  </si>
  <si>
    <t xml:space="preserve">ADITYA HOSIERY                                              </t>
  </si>
  <si>
    <t xml:space="preserve">KPL-106                  </t>
  </si>
  <si>
    <t xml:space="preserve">ABHINANDAN KNITS PVT LTD                                    </t>
  </si>
  <si>
    <t xml:space="preserve">MAYANK FABRICS                                              </t>
  </si>
  <si>
    <t xml:space="preserve">VALLABH KNITWEARS                                           </t>
  </si>
  <si>
    <t xml:space="preserve">KPL-109                  </t>
  </si>
  <si>
    <t xml:space="preserve">Kemtex Sequest 300 (water Softner)                </t>
  </si>
  <si>
    <t xml:space="preserve">SAKSHI ENTERPRISES                                          </t>
  </si>
  <si>
    <t xml:space="preserve">K-knit Wash Tt Ultra Lprm W-32                    </t>
  </si>
  <si>
    <t xml:space="preserve">KPL-112                  </t>
  </si>
  <si>
    <t xml:space="preserve">Kemtex Gear Ep 90                                 </t>
  </si>
  <si>
    <t xml:space="preserve">KPL-115                  </t>
  </si>
  <si>
    <t xml:space="preserve">KPL-116                  </t>
  </si>
  <si>
    <t xml:space="preserve">N K KNITS                                                   </t>
  </si>
  <si>
    <t xml:space="preserve">FAIZAN TRADERS                                              </t>
  </si>
  <si>
    <t xml:space="preserve">D R SYNTHETICS                                              </t>
  </si>
  <si>
    <t xml:space="preserve">TANSIA FABRIC                                               </t>
  </si>
  <si>
    <t xml:space="preserve">MEGHA PROCESSORS                                            </t>
  </si>
  <si>
    <t xml:space="preserve">Kemtex Hi Temp Gel  Grease                        </t>
  </si>
  <si>
    <t xml:space="preserve">ANIL JAIN GARMENTS                                          </t>
  </si>
  <si>
    <t xml:space="preserve">RAMYA BALAJI ALLOY PVT LTD                                  </t>
  </si>
  <si>
    <t xml:space="preserve">VARDHMAN THERMOPACK INDUSTRIES                              </t>
  </si>
  <si>
    <t xml:space="preserve">KHUSHBOO KNITS  INDIA                                       </t>
  </si>
  <si>
    <t xml:space="preserve">MAYUR KNIT FAB                                              </t>
  </si>
  <si>
    <t xml:space="preserve">ANVI FABRIC                                                 </t>
  </si>
  <si>
    <t xml:space="preserve">AADI KNITWEAR                                               </t>
  </si>
  <si>
    <t xml:space="preserve">AIM KNITWEAR                                                </t>
  </si>
  <si>
    <t xml:space="preserve">KPL-146                  </t>
  </si>
  <si>
    <t xml:space="preserve">SHIVA PROCESSORS                                            </t>
  </si>
  <si>
    <t xml:space="preserve">Kemtex K-p Dan                                    </t>
  </si>
  <si>
    <t xml:space="preserve">SHIV FABRICS                                                </t>
  </si>
  <si>
    <t xml:space="preserve">DK DAWAR HOSIERY                                            </t>
  </si>
  <si>
    <t xml:space="preserve">RAVI TRADERS                                                </t>
  </si>
  <si>
    <t xml:space="preserve">KPL-151                  </t>
  </si>
  <si>
    <t xml:space="preserve">SWASTIK KNIT FAB                                            </t>
  </si>
  <si>
    <t xml:space="preserve">AMAR JYOT TEXTILE MILLS                                     </t>
  </si>
  <si>
    <t xml:space="preserve">SWINI KNITWEARS                                             </t>
  </si>
  <si>
    <t xml:space="preserve">Kemtex K-wett 600                                 </t>
  </si>
  <si>
    <t xml:space="preserve">AYISHA INDUSTRIES                                           </t>
  </si>
  <si>
    <t xml:space="preserve">SHRAMAN JI FABRICS PVT LTD                                  </t>
  </si>
  <si>
    <t xml:space="preserve">KUSHWAHA FABRIC                                             </t>
  </si>
  <si>
    <t xml:space="preserve">TRUSTEX INDUSTRIES                                          </t>
  </si>
  <si>
    <t xml:space="preserve">SD KNITWEAR                                                 </t>
  </si>
  <si>
    <t xml:space="preserve">TEXAS HOSIERY MILLS                                         </t>
  </si>
  <si>
    <t xml:space="preserve">KPL-164                  </t>
  </si>
  <si>
    <t xml:space="preserve">AADI KNIT FAB                                               </t>
  </si>
  <si>
    <t xml:space="preserve">Kemtex K-dispers Atd                              </t>
  </si>
  <si>
    <t xml:space="preserve">NATO INTERNATIONAL                                          </t>
  </si>
  <si>
    <t xml:space="preserve">SATISH INDUSTRIES                                           </t>
  </si>
  <si>
    <t xml:space="preserve">Kemtex Compressor Oil 20w40                       </t>
  </si>
  <si>
    <t xml:space="preserve">KPL-168                  </t>
  </si>
  <si>
    <t xml:space="preserve">Kemtex K Dft C+                                   </t>
  </si>
  <si>
    <t xml:space="preserve">ARUSHI KNITWEAR                                             </t>
  </si>
  <si>
    <t xml:space="preserve">KPL-170                  </t>
  </si>
  <si>
    <t xml:space="preserve">RISHI KNIT                                                  </t>
  </si>
  <si>
    <t xml:space="preserve">RADHE RADHE KNITTERS                                        </t>
  </si>
  <si>
    <t xml:space="preserve">A P GROVER HOSIERY                                          </t>
  </si>
  <si>
    <t xml:space="preserve">KPL-177                  </t>
  </si>
  <si>
    <t xml:space="preserve">KPL-180                  </t>
  </si>
  <si>
    <t xml:space="preserve">SERAJ  MS  KNITTING                                                 </t>
  </si>
  <si>
    <t xml:space="preserve">G-1                      </t>
  </si>
  <si>
    <t xml:space="preserve">RSDYEING   FINISHING PRIVATE LIMITED                        </t>
  </si>
  <si>
    <t xml:space="preserve">Kemtex K Keta Sil                                 </t>
  </si>
  <si>
    <t xml:space="preserve">G-2                      </t>
  </si>
  <si>
    <t xml:space="preserve">LOTUS CLOTHING CO                                           </t>
  </si>
  <si>
    <t xml:space="preserve">Kemtex K-wett Conc                                </t>
  </si>
  <si>
    <t xml:space="preserve">G-4                      </t>
  </si>
  <si>
    <t xml:space="preserve">HINDUSTAN FASHION                                           </t>
  </si>
  <si>
    <t xml:space="preserve">G-5                      </t>
  </si>
  <si>
    <t xml:space="preserve">CRYSTAL DYEING   FINISHING MILLS                            </t>
  </si>
  <si>
    <t xml:space="preserve">Kemtex K-sr 2000.                                 </t>
  </si>
  <si>
    <t xml:space="preserve">G-6                      </t>
  </si>
  <si>
    <t xml:space="preserve">SARAL DYERS  UNIT I                                         </t>
  </si>
  <si>
    <t xml:space="preserve">G-7                      </t>
  </si>
  <si>
    <t xml:space="preserve">KRISHNA PROCESSORS                                          </t>
  </si>
  <si>
    <t xml:space="preserve">G-8                      </t>
  </si>
  <si>
    <t xml:space="preserve">R S DYEING AND PROCESSING HOUSE                             </t>
  </si>
  <si>
    <t xml:space="preserve">G-9                      </t>
  </si>
  <si>
    <t xml:space="preserve">Kemtex Krls By 300 (yarn)                         </t>
  </si>
  <si>
    <t xml:space="preserve">G-10                     </t>
  </si>
  <si>
    <t xml:space="preserve">G-11                     </t>
  </si>
  <si>
    <t xml:space="preserve">G-12                     </t>
  </si>
  <si>
    <t xml:space="preserve">G-17                     </t>
  </si>
  <si>
    <t xml:space="preserve">OSWAL DYEING AND FINISHING MILLS PVT LTD                    </t>
  </si>
  <si>
    <t xml:space="preserve">G-18                     </t>
  </si>
  <si>
    <t xml:space="preserve">G-19                     </t>
  </si>
  <si>
    <t xml:space="preserve">G-20                     </t>
  </si>
  <si>
    <t xml:space="preserve">D G PROCESSORS                                              </t>
  </si>
  <si>
    <t xml:space="preserve">G-21                     </t>
  </si>
  <si>
    <t xml:space="preserve">G-22                     </t>
  </si>
  <si>
    <t xml:space="preserve">G-23                     </t>
  </si>
  <si>
    <t xml:space="preserve">RAMA KRISHNA DYEING                                         </t>
  </si>
  <si>
    <t xml:space="preserve">Kemtex K-hasoap 800 B                             </t>
  </si>
  <si>
    <t xml:space="preserve">G-24                     </t>
  </si>
  <si>
    <t xml:space="preserve">G-25                     </t>
  </si>
  <si>
    <t xml:space="preserve">Kemtex K-dft Mc 500                               </t>
  </si>
  <si>
    <t xml:space="preserve">G-26                     </t>
  </si>
  <si>
    <t xml:space="preserve">G-27                     </t>
  </si>
  <si>
    <t xml:space="preserve">G-28                     </t>
  </si>
  <si>
    <t xml:space="preserve">G-29                     </t>
  </si>
  <si>
    <t xml:space="preserve">G-30                     </t>
  </si>
  <si>
    <t xml:space="preserve">G-31                     </t>
  </si>
  <si>
    <t xml:space="preserve">G-32                     </t>
  </si>
  <si>
    <t xml:space="preserve">G-36                     </t>
  </si>
  <si>
    <t>NOORVEX LUBES INDUSTRY</t>
  </si>
  <si>
    <t>E-2 FIRST FLOOR, HAMPTON COURT BUSINESS PARK</t>
  </si>
  <si>
    <t>CHANDIGARH ROAD</t>
  </si>
  <si>
    <t xml:space="preserve">NLI-1                    </t>
  </si>
  <si>
    <t xml:space="preserve">SANGAT DYEING HOUSE                                         </t>
  </si>
  <si>
    <t xml:space="preserve">NLI-2                    </t>
  </si>
  <si>
    <t xml:space="preserve">Kemtex K- P Dan                                   </t>
  </si>
  <si>
    <t xml:space="preserve">NLI-3                    </t>
  </si>
  <si>
    <t xml:space="preserve">NLI-4                    </t>
  </si>
  <si>
    <t xml:space="preserve">NLI-5                    </t>
  </si>
  <si>
    <t xml:space="preserve">NLI-9                    </t>
  </si>
  <si>
    <t xml:space="preserve">NLI-10                   </t>
  </si>
  <si>
    <t xml:space="preserve">RAJ SHAWL EMPEROR                                           </t>
  </si>
  <si>
    <t xml:space="preserve">NLI-11                   </t>
  </si>
  <si>
    <t xml:space="preserve">Kemtex Krls 220                                   </t>
  </si>
  <si>
    <t xml:space="preserve">NLI-12                   </t>
  </si>
  <si>
    <t xml:space="preserve">NLI-14                   </t>
  </si>
  <si>
    <t xml:space="preserve">JD APPARELS                                                 </t>
  </si>
  <si>
    <t xml:space="preserve">NLI-15                   </t>
  </si>
  <si>
    <t xml:space="preserve">Kemtex K-dft Mc 800                               </t>
  </si>
  <si>
    <t xml:space="preserve">NLI-16                   </t>
  </si>
  <si>
    <t xml:space="preserve">NLI-17                   </t>
  </si>
  <si>
    <t xml:space="preserve">NLI-18                   </t>
  </si>
  <si>
    <t xml:space="preserve">NLI-19                   </t>
  </si>
  <si>
    <t xml:space="preserve">NLI-20                   </t>
  </si>
  <si>
    <t xml:space="preserve">NLI-21                   </t>
  </si>
  <si>
    <t xml:space="preserve">NLI-22                   </t>
  </si>
  <si>
    <t xml:space="preserve">NLI-24                   </t>
  </si>
  <si>
    <t xml:space="preserve">NLI-25                   </t>
  </si>
  <si>
    <t>K-knit N/w 22/32</t>
  </si>
  <si>
    <t xml:space="preserve">K-knit Wash Ultra 22/32                                      </t>
  </si>
  <si>
    <t xml:space="preserve">K-knit Wash 22/32                                 </t>
  </si>
  <si>
    <t>UNIQUE Sale Book</t>
  </si>
  <si>
    <t>TOTAL</t>
  </si>
  <si>
    <t>AEIRY KNITWEARS</t>
  </si>
  <si>
    <t>K-KNIT N/W 68</t>
  </si>
  <si>
    <t>NANDANI ENTERPRISES</t>
  </si>
  <si>
    <t>KEMTEX GEAR EP 90</t>
  </si>
  <si>
    <t>RAJU TEXTILES</t>
  </si>
  <si>
    <t>ASHIMA KNIT FAB</t>
  </si>
  <si>
    <t>LOVELY CHOICE</t>
  </si>
  <si>
    <t>PANKAJ KNITTING</t>
  </si>
  <si>
    <t>TOP MAX</t>
  </si>
  <si>
    <t>GOVIND KNITWEARS</t>
  </si>
  <si>
    <t>CUTE STUFF</t>
  </si>
  <si>
    <t>SHIVAAY</t>
  </si>
  <si>
    <t>SATYAM KNITTING</t>
  </si>
  <si>
    <t>KEMTEX GEAR 150</t>
  </si>
  <si>
    <t>K-KNIT N/W 32</t>
  </si>
  <si>
    <t>K-KNIT WASH 22/32</t>
  </si>
  <si>
    <t>CASH</t>
  </si>
  <si>
    <t>KEMTEX SEWING 70</t>
  </si>
  <si>
    <t>KEMTEX FLUSH CLEAN 30</t>
  </si>
  <si>
    <t>K-knit Wash 22/32</t>
  </si>
  <si>
    <t>K-KNIT N/W 22/32</t>
  </si>
  <si>
    <t>Kemtex K-sili A SS 49</t>
  </si>
  <si>
    <t>K-knit N/w 68</t>
  </si>
  <si>
    <t xml:space="preserve">K-knit Wash Ultra 22/32                            </t>
  </si>
  <si>
    <t xml:space="preserve">K-knit Wash Plus 22/32                           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</si>
</sst>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9">
    <xf numFmtId="0" fontId="0" fillId="0" borderId="0" xfId="0"/>
    <xf numFmtId="0" fontId="0" fillId="0" borderId="1" xfId="0" applyFont="1" applyBorder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2" borderId="1" xfId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opLeftCell="A19" workbookViewId="0">
      <selection activeCell="A9" sqref="A9:H41"/>
    </sheetView>
  </sheetViews>
  <sheetFormatPr defaultRowHeight="14.5"/>
  <cols>
    <col min="1" max="1" width="10.7265625" bestFit="1" customWidth="1"/>
    <col min="2" max="2" width="27.26953125" customWidth="1"/>
    <col min="3" max="3" width="9.81640625" customWidth="1"/>
    <col min="4" max="4" width="33.1796875" customWidth="1"/>
    <col min="5" max="5" width="5.54296875" bestFit="1" customWidth="1"/>
    <col min="6" max="7" width="6" bestFit="1" customWidth="1"/>
    <col min="8" max="8" width="8.1796875" bestFit="1" customWidth="1"/>
  </cols>
  <sheetData>
    <row r="1" spans="1:8">
      <c r="B1" t="s">
        <v>0</v>
      </c>
    </row>
    <row r="2" spans="1:8">
      <c r="B2" t="s">
        <v>1</v>
      </c>
    </row>
    <row r="3" spans="1:8">
      <c r="B3" t="s">
        <v>2</v>
      </c>
    </row>
    <row r="4" spans="1:8">
      <c r="B4" t="s">
        <v>3</v>
      </c>
    </row>
    <row r="6" spans="1:8">
      <c r="B6" t="s">
        <v>4</v>
      </c>
    </row>
    <row r="7" spans="1:8">
      <c r="B7" t="s">
        <v>5</v>
      </c>
    </row>
    <row r="8" spans="1:8">
      <c r="A8" s="1" t="s">
        <v>7</v>
      </c>
      <c r="B8" s="3" t="s">
        <v>10</v>
      </c>
      <c r="C8" s="1" t="s">
        <v>12</v>
      </c>
      <c r="D8" s="1" t="s">
        <v>11</v>
      </c>
      <c r="E8" s="1" t="s">
        <v>9</v>
      </c>
      <c r="F8" s="1" t="s">
        <v>13</v>
      </c>
      <c r="G8" s="1" t="s">
        <v>14</v>
      </c>
      <c r="H8" s="3" t="s">
        <v>8</v>
      </c>
    </row>
    <row r="9" spans="1:8">
      <c r="A9" s="5">
        <v>46115</v>
      </c>
      <c r="B9" s="4" t="s">
        <v>19</v>
      </c>
      <c r="C9" s="4" t="s">
        <v>17</v>
      </c>
      <c r="D9" s="4" t="s">
        <v>20</v>
      </c>
      <c r="E9" s="4" t="s">
        <v>15</v>
      </c>
      <c r="F9" s="4">
        <v>50</v>
      </c>
      <c r="G9" s="4">
        <v>155</v>
      </c>
      <c r="H9" s="4">
        <v>7750</v>
      </c>
    </row>
    <row r="10" spans="1:8">
      <c r="A10" s="5">
        <v>46132</v>
      </c>
      <c r="B10" s="4" t="s">
        <v>29</v>
      </c>
      <c r="C10" s="4" t="s">
        <v>17</v>
      </c>
      <c r="D10" s="4" t="s">
        <v>35</v>
      </c>
      <c r="E10" s="4" t="s">
        <v>15</v>
      </c>
      <c r="F10" s="4">
        <v>26</v>
      </c>
      <c r="G10" s="4">
        <v>230</v>
      </c>
      <c r="H10" s="4">
        <v>5980</v>
      </c>
    </row>
    <row r="11" spans="1:8">
      <c r="A11" s="5">
        <v>46126</v>
      </c>
      <c r="B11" s="4" t="s">
        <v>30</v>
      </c>
      <c r="C11" s="4" t="s">
        <v>17</v>
      </c>
      <c r="D11" s="4" t="s">
        <v>36</v>
      </c>
      <c r="E11" s="4" t="s">
        <v>15</v>
      </c>
      <c r="F11" s="4">
        <v>26</v>
      </c>
      <c r="G11" s="4">
        <v>390</v>
      </c>
      <c r="H11" s="4">
        <v>10140</v>
      </c>
    </row>
    <row r="12" spans="1:8">
      <c r="A12" s="5">
        <v>46132</v>
      </c>
      <c r="B12" s="4" t="s">
        <v>29</v>
      </c>
      <c r="C12" s="4" t="s">
        <v>17</v>
      </c>
      <c r="D12" s="4" t="s">
        <v>36</v>
      </c>
      <c r="E12" s="4" t="s">
        <v>15</v>
      </c>
      <c r="F12" s="4">
        <v>26</v>
      </c>
      <c r="G12" s="4">
        <v>405</v>
      </c>
      <c r="H12" s="4">
        <v>10530</v>
      </c>
    </row>
    <row r="13" spans="1:8">
      <c r="A13" s="5">
        <v>46134</v>
      </c>
      <c r="B13" s="4" t="s">
        <v>33</v>
      </c>
      <c r="C13" s="4" t="s">
        <v>17</v>
      </c>
      <c r="D13" s="4" t="s">
        <v>38</v>
      </c>
      <c r="E13" s="4" t="s">
        <v>15</v>
      </c>
      <c r="F13" s="4">
        <v>26</v>
      </c>
      <c r="G13" s="4">
        <v>175</v>
      </c>
      <c r="H13" s="4">
        <v>4550</v>
      </c>
    </row>
    <row r="14" spans="1:8">
      <c r="A14" s="5">
        <v>46118</v>
      </c>
      <c r="B14" s="4" t="s">
        <v>22</v>
      </c>
      <c r="C14" s="4" t="s">
        <v>17</v>
      </c>
      <c r="D14" s="4" t="s">
        <v>23</v>
      </c>
      <c r="E14" s="4" t="s">
        <v>15</v>
      </c>
      <c r="F14" s="4">
        <v>210</v>
      </c>
      <c r="G14" s="4">
        <v>537</v>
      </c>
      <c r="H14" s="4">
        <v>112770</v>
      </c>
    </row>
    <row r="15" spans="1:8">
      <c r="A15" s="5">
        <v>46119</v>
      </c>
      <c r="B15" s="4" t="s">
        <v>22</v>
      </c>
      <c r="C15" s="4" t="s">
        <v>17</v>
      </c>
      <c r="D15" s="4" t="s">
        <v>23</v>
      </c>
      <c r="E15" s="4" t="s">
        <v>15</v>
      </c>
      <c r="F15" s="4">
        <v>120</v>
      </c>
      <c r="G15" s="4">
        <v>537</v>
      </c>
      <c r="H15" s="4">
        <v>64440</v>
      </c>
    </row>
    <row r="16" spans="1:8">
      <c r="A16" s="5">
        <v>46134</v>
      </c>
      <c r="B16" s="4" t="s">
        <v>39</v>
      </c>
      <c r="C16" s="4" t="s">
        <v>17</v>
      </c>
      <c r="D16" s="4" t="s">
        <v>40</v>
      </c>
      <c r="E16" s="4" t="s">
        <v>15</v>
      </c>
      <c r="F16" s="4">
        <v>50</v>
      </c>
      <c r="G16" s="4">
        <v>135</v>
      </c>
      <c r="H16" s="4">
        <v>6750</v>
      </c>
    </row>
    <row r="17" spans="1:8">
      <c r="A17" s="5">
        <v>46142</v>
      </c>
      <c r="B17" s="4" t="s">
        <v>47</v>
      </c>
      <c r="C17" s="4" t="s">
        <v>17</v>
      </c>
      <c r="D17" s="4" t="s">
        <v>300</v>
      </c>
      <c r="E17" s="4" t="s">
        <v>15</v>
      </c>
      <c r="F17" s="4">
        <v>26</v>
      </c>
      <c r="G17" s="4">
        <v>140</v>
      </c>
      <c r="H17" s="4">
        <v>3640</v>
      </c>
    </row>
    <row r="18" spans="1:8">
      <c r="A18" s="5">
        <v>46136</v>
      </c>
      <c r="B18" s="4" t="s">
        <v>42</v>
      </c>
      <c r="C18" s="4" t="s">
        <v>17</v>
      </c>
      <c r="D18" s="13" t="s">
        <v>300</v>
      </c>
      <c r="E18" s="4" t="s">
        <v>15</v>
      </c>
      <c r="F18" s="4">
        <v>50</v>
      </c>
      <c r="G18" s="4">
        <v>140</v>
      </c>
      <c r="H18" s="4">
        <v>7000</v>
      </c>
    </row>
    <row r="19" spans="1:8">
      <c r="A19" s="5">
        <v>46141</v>
      </c>
      <c r="B19" s="4" t="s">
        <v>45</v>
      </c>
      <c r="C19" s="4" t="s">
        <v>17</v>
      </c>
      <c r="D19" s="13" t="s">
        <v>300</v>
      </c>
      <c r="E19" s="4" t="s">
        <v>15</v>
      </c>
      <c r="F19" s="4">
        <v>210</v>
      </c>
      <c r="G19" s="4">
        <v>135</v>
      </c>
      <c r="H19" s="4">
        <v>28350</v>
      </c>
    </row>
    <row r="20" spans="1:8">
      <c r="A20" s="5">
        <v>46133</v>
      </c>
      <c r="B20" s="4" t="s">
        <v>37</v>
      </c>
      <c r="C20" s="4" t="s">
        <v>17</v>
      </c>
      <c r="D20" s="13" t="s">
        <v>300</v>
      </c>
      <c r="E20" s="4" t="s">
        <v>15</v>
      </c>
      <c r="F20" s="4">
        <v>210</v>
      </c>
      <c r="G20" s="4">
        <v>140</v>
      </c>
      <c r="H20" s="4">
        <v>29400</v>
      </c>
    </row>
    <row r="21" spans="1:8">
      <c r="A21" s="5">
        <v>46141</v>
      </c>
      <c r="B21" s="4" t="s">
        <v>44</v>
      </c>
      <c r="C21" s="4" t="s">
        <v>17</v>
      </c>
      <c r="D21" s="13" t="s">
        <v>300</v>
      </c>
      <c r="E21" s="4" t="s">
        <v>15</v>
      </c>
      <c r="F21" s="4">
        <v>26</v>
      </c>
      <c r="G21" s="4">
        <v>140</v>
      </c>
      <c r="H21" s="4">
        <v>3640</v>
      </c>
    </row>
    <row r="22" spans="1:8">
      <c r="A22" s="5">
        <v>46134</v>
      </c>
      <c r="B22" s="4" t="s">
        <v>41</v>
      </c>
      <c r="C22" s="4" t="s">
        <v>17</v>
      </c>
      <c r="D22" s="13" t="s">
        <v>300</v>
      </c>
      <c r="E22" s="4" t="s">
        <v>15</v>
      </c>
      <c r="F22" s="4">
        <v>26</v>
      </c>
      <c r="G22" s="4">
        <v>138</v>
      </c>
      <c r="H22" s="4">
        <v>3588</v>
      </c>
    </row>
    <row r="23" spans="1:8">
      <c r="A23" s="5">
        <v>46127</v>
      </c>
      <c r="B23" s="4" t="s">
        <v>34</v>
      </c>
      <c r="C23" s="4" t="s">
        <v>17</v>
      </c>
      <c r="D23" s="13" t="s">
        <v>300</v>
      </c>
      <c r="E23" s="4" t="s">
        <v>15</v>
      </c>
      <c r="F23" s="4">
        <v>210</v>
      </c>
      <c r="G23" s="4">
        <v>135</v>
      </c>
      <c r="H23" s="4">
        <v>28350</v>
      </c>
    </row>
    <row r="24" spans="1:8">
      <c r="A24" s="5">
        <v>46127</v>
      </c>
      <c r="B24" s="4" t="s">
        <v>33</v>
      </c>
      <c r="C24" s="4" t="s">
        <v>17</v>
      </c>
      <c r="D24" s="13" t="s">
        <v>300</v>
      </c>
      <c r="E24" s="4" t="s">
        <v>15</v>
      </c>
      <c r="F24" s="4">
        <v>52</v>
      </c>
      <c r="G24" s="4">
        <v>150</v>
      </c>
      <c r="H24" s="4">
        <v>7800</v>
      </c>
    </row>
    <row r="25" spans="1:8">
      <c r="A25" s="5">
        <v>46141</v>
      </c>
      <c r="B25" s="4" t="s">
        <v>46</v>
      </c>
      <c r="C25" s="4" t="s">
        <v>17</v>
      </c>
      <c r="D25" s="13" t="s">
        <v>300</v>
      </c>
      <c r="E25" s="4" t="s">
        <v>15</v>
      </c>
      <c r="F25" s="4">
        <v>26</v>
      </c>
      <c r="G25" s="4">
        <v>148</v>
      </c>
      <c r="H25" s="4">
        <v>3848</v>
      </c>
    </row>
    <row r="26" spans="1:8">
      <c r="A26" s="5">
        <v>46122</v>
      </c>
      <c r="B26" s="4" t="s">
        <v>26</v>
      </c>
      <c r="C26" s="4" t="s">
        <v>17</v>
      </c>
      <c r="D26" s="13" t="s">
        <v>300</v>
      </c>
      <c r="E26" s="4" t="s">
        <v>15</v>
      </c>
      <c r="F26" s="4">
        <v>26</v>
      </c>
      <c r="G26" s="4">
        <v>180</v>
      </c>
      <c r="H26" s="4">
        <v>4680</v>
      </c>
    </row>
    <row r="27" spans="1:8">
      <c r="A27" s="5">
        <v>46121</v>
      </c>
      <c r="B27" s="4" t="s">
        <v>25</v>
      </c>
      <c r="C27" s="4" t="s">
        <v>17</v>
      </c>
      <c r="D27" s="13" t="s">
        <v>300</v>
      </c>
      <c r="E27" s="4" t="s">
        <v>15</v>
      </c>
      <c r="F27" s="4">
        <v>50</v>
      </c>
      <c r="G27" s="4">
        <v>142</v>
      </c>
      <c r="H27" s="4">
        <v>7100</v>
      </c>
    </row>
    <row r="28" spans="1:8">
      <c r="A28" s="5">
        <v>46134</v>
      </c>
      <c r="B28" s="4" t="s">
        <v>25</v>
      </c>
      <c r="C28" s="4" t="s">
        <v>17</v>
      </c>
      <c r="D28" s="13" t="s">
        <v>300</v>
      </c>
      <c r="E28" s="4" t="s">
        <v>15</v>
      </c>
      <c r="F28" s="4">
        <v>100</v>
      </c>
      <c r="G28" s="4">
        <v>135</v>
      </c>
      <c r="H28" s="4">
        <v>13500</v>
      </c>
    </row>
    <row r="29" spans="1:8">
      <c r="A29" s="5">
        <v>46126</v>
      </c>
      <c r="B29" s="4" t="s">
        <v>29</v>
      </c>
      <c r="C29" s="4" t="s">
        <v>17</v>
      </c>
      <c r="D29" s="4" t="s">
        <v>301</v>
      </c>
      <c r="E29" s="4" t="s">
        <v>15</v>
      </c>
      <c r="F29" s="4">
        <v>26</v>
      </c>
      <c r="G29" s="4">
        <v>210</v>
      </c>
      <c r="H29" s="4">
        <v>5460</v>
      </c>
    </row>
    <row r="30" spans="1:8">
      <c r="A30" s="5">
        <v>46132</v>
      </c>
      <c r="B30" s="4" t="s">
        <v>29</v>
      </c>
      <c r="C30" s="4" t="s">
        <v>17</v>
      </c>
      <c r="D30" s="13" t="s">
        <v>301</v>
      </c>
      <c r="E30" s="4" t="s">
        <v>15</v>
      </c>
      <c r="F30" s="4">
        <v>26</v>
      </c>
      <c r="G30" s="4">
        <v>210</v>
      </c>
      <c r="H30" s="4">
        <v>5460</v>
      </c>
    </row>
    <row r="31" spans="1:8">
      <c r="A31" s="5">
        <v>46127</v>
      </c>
      <c r="B31" s="4" t="s">
        <v>34</v>
      </c>
      <c r="C31" s="4" t="s">
        <v>17</v>
      </c>
      <c r="D31" s="4" t="s">
        <v>302</v>
      </c>
      <c r="E31" s="4" t="s">
        <v>15</v>
      </c>
      <c r="F31" s="4">
        <v>210</v>
      </c>
      <c r="G31" s="4">
        <v>160</v>
      </c>
      <c r="H31" s="4">
        <v>33600</v>
      </c>
    </row>
    <row r="32" spans="1:8">
      <c r="A32" s="5">
        <v>46126</v>
      </c>
      <c r="B32" s="4" t="s">
        <v>30</v>
      </c>
      <c r="C32" s="4" t="s">
        <v>17</v>
      </c>
      <c r="D32" s="13" t="s">
        <v>302</v>
      </c>
      <c r="E32" s="4" t="s">
        <v>15</v>
      </c>
      <c r="F32" s="4">
        <v>52</v>
      </c>
      <c r="G32" s="4">
        <v>205</v>
      </c>
      <c r="H32" s="4">
        <v>10660</v>
      </c>
    </row>
    <row r="33" spans="1:8">
      <c r="A33" s="5">
        <v>46141</v>
      </c>
      <c r="B33" s="4" t="s">
        <v>45</v>
      </c>
      <c r="C33" s="4" t="s">
        <v>17</v>
      </c>
      <c r="D33" s="13" t="s">
        <v>302</v>
      </c>
      <c r="E33" s="4" t="s">
        <v>15</v>
      </c>
      <c r="F33" s="4">
        <v>100</v>
      </c>
      <c r="G33" s="4">
        <v>175</v>
      </c>
      <c r="H33" s="4">
        <v>17500</v>
      </c>
    </row>
    <row r="34" spans="1:8">
      <c r="A34" s="5">
        <v>46120</v>
      </c>
      <c r="B34" s="4" t="s">
        <v>24</v>
      </c>
      <c r="C34" s="4" t="s">
        <v>17</v>
      </c>
      <c r="D34" s="13" t="s">
        <v>302</v>
      </c>
      <c r="E34" s="4" t="s">
        <v>15</v>
      </c>
      <c r="F34" s="4">
        <v>26</v>
      </c>
      <c r="G34" s="4">
        <v>195</v>
      </c>
      <c r="H34" s="4">
        <v>5070</v>
      </c>
    </row>
    <row r="35" spans="1:8">
      <c r="A35" s="5">
        <v>46116</v>
      </c>
      <c r="B35" s="4" t="s">
        <v>21</v>
      </c>
      <c r="C35" s="4" t="s">
        <v>17</v>
      </c>
      <c r="D35" s="13" t="s">
        <v>302</v>
      </c>
      <c r="E35" s="4" t="s">
        <v>15</v>
      </c>
      <c r="F35" s="4">
        <v>50</v>
      </c>
      <c r="G35" s="4">
        <v>200</v>
      </c>
      <c r="H35" s="4">
        <v>10000</v>
      </c>
    </row>
    <row r="36" spans="1:8">
      <c r="A36" s="5">
        <v>46141</v>
      </c>
      <c r="B36" s="4" t="s">
        <v>44</v>
      </c>
      <c r="C36" s="4" t="s">
        <v>17</v>
      </c>
      <c r="D36" s="13" t="s">
        <v>302</v>
      </c>
      <c r="E36" s="4" t="s">
        <v>15</v>
      </c>
      <c r="F36" s="4">
        <v>26</v>
      </c>
      <c r="G36" s="4">
        <v>180</v>
      </c>
      <c r="H36" s="4">
        <v>4680</v>
      </c>
    </row>
    <row r="37" spans="1:8">
      <c r="A37" s="5">
        <v>46114</v>
      </c>
      <c r="B37" s="4" t="s">
        <v>18</v>
      </c>
      <c r="C37" s="4" t="s">
        <v>17</v>
      </c>
      <c r="D37" s="13" t="s">
        <v>302</v>
      </c>
      <c r="E37" s="4" t="s">
        <v>15</v>
      </c>
      <c r="F37" s="4">
        <v>210</v>
      </c>
      <c r="G37" s="4">
        <v>153</v>
      </c>
      <c r="H37" s="4">
        <v>32130</v>
      </c>
    </row>
    <row r="38" spans="1:8">
      <c r="A38" s="5">
        <v>46114</v>
      </c>
      <c r="B38" s="4" t="s">
        <v>16</v>
      </c>
      <c r="C38" s="4" t="s">
        <v>17</v>
      </c>
      <c r="D38" s="13" t="s">
        <v>302</v>
      </c>
      <c r="E38" s="4" t="s">
        <v>15</v>
      </c>
      <c r="F38" s="4">
        <v>210</v>
      </c>
      <c r="G38" s="4">
        <v>170</v>
      </c>
      <c r="H38" s="4">
        <v>35700</v>
      </c>
    </row>
    <row r="39" spans="1:8">
      <c r="A39" s="5">
        <v>46127</v>
      </c>
      <c r="B39" s="4" t="s">
        <v>31</v>
      </c>
      <c r="C39" s="4" t="s">
        <v>17</v>
      </c>
      <c r="D39" s="13" t="s">
        <v>302</v>
      </c>
      <c r="E39" s="4" t="s">
        <v>15</v>
      </c>
      <c r="F39" s="4">
        <v>26</v>
      </c>
      <c r="G39" s="4">
        <v>205</v>
      </c>
      <c r="H39" s="4">
        <v>5330</v>
      </c>
    </row>
    <row r="40" spans="1:8">
      <c r="A40" s="5">
        <v>46136</v>
      </c>
      <c r="B40" s="4" t="s">
        <v>43</v>
      </c>
      <c r="C40" s="4" t="s">
        <v>17</v>
      </c>
      <c r="D40" s="13" t="s">
        <v>302</v>
      </c>
      <c r="E40" s="4" t="s">
        <v>15</v>
      </c>
      <c r="F40" s="4">
        <v>26</v>
      </c>
      <c r="G40" s="4">
        <v>195</v>
      </c>
      <c r="H40" s="4">
        <v>5070</v>
      </c>
    </row>
    <row r="41" spans="1:8">
      <c r="A41" s="5">
        <v>46125</v>
      </c>
      <c r="B41" s="4" t="s">
        <v>28</v>
      </c>
      <c r="C41" s="4" t="s">
        <v>17</v>
      </c>
      <c r="D41" s="13" t="s">
        <v>302</v>
      </c>
      <c r="E41" s="4" t="s">
        <v>15</v>
      </c>
      <c r="F41" s="4">
        <v>50</v>
      </c>
      <c r="G41" s="4">
        <v>186</v>
      </c>
      <c r="H41" s="4">
        <v>9300</v>
      </c>
    </row>
    <row r="42" spans="1:8">
      <c r="A42" s="3"/>
      <c r="B42" s="3"/>
      <c r="C42" s="3"/>
      <c r="D42" s="3"/>
      <c r="E42" s="3"/>
      <c r="F42" s="3">
        <f>SUM(F9:F41)</f>
        <v>2584</v>
      </c>
      <c r="G42" s="3">
        <f>SUM(G9:G41)</f>
        <v>6731</v>
      </c>
      <c r="H42" s="3">
        <f>SUM(H9:H41)</f>
        <v>543766</v>
      </c>
    </row>
  </sheetData>
  <autoFilter ref="A8:H8">
    <sortState ref="A9:H42">
      <sortCondition ref="D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H299"/>
  <sheetViews>
    <sheetView tabSelected="1" workbookViewId="0">
      <selection activeCell="D302" sqref="D302"/>
    </sheetView>
  </sheetViews>
  <sheetFormatPr defaultRowHeight="14.5"/>
  <cols>
    <col min="1" max="1" width="18.36328125" customWidth="1"/>
    <col min="2" max="2" width="37.1796875" customWidth="1"/>
    <col min="3" max="3" width="13.81640625" customWidth="1"/>
    <col min="4" max="4" width="25.453125" customWidth="1"/>
    <col min="5" max="5" width="5.7265625" bestFit="1" customWidth="1"/>
    <col min="6" max="6" width="10" bestFit="1" customWidth="1"/>
    <col min="7" max="7" width="17.26953125" customWidth="1"/>
    <col min="8" max="8" width="24.1796875" customWidth="1"/>
  </cols>
  <sheetData>
    <row r="2" spans="1:8">
      <c r="A2" s="16"/>
      <c r="B2" s="16"/>
      <c r="C2" s="16"/>
      <c r="D2" s="16"/>
      <c r="E2" s="16"/>
      <c r="F2" s="16"/>
      <c r="G2" s="16"/>
      <c r="H2" s="16"/>
    </row>
    <row r="3" spans="1:8">
      <c r="A3" s="17"/>
      <c r="B3" s="17"/>
      <c r="C3" s="17"/>
      <c r="D3" s="17"/>
      <c r="E3" s="17"/>
      <c r="F3" s="17"/>
      <c r="G3" s="17"/>
      <c r="H3" s="17"/>
    </row>
    <row r="4" spans="1:8">
      <c r="A4" s="12" t="s">
        <v>7</v>
      </c>
      <c r="B4" s="12" t="s">
        <v>10</v>
      </c>
      <c r="C4" s="12" t="s">
        <v>12</v>
      </c>
      <c r="D4" s="12" t="s">
        <v>11</v>
      </c>
      <c r="E4" s="12" t="s">
        <v>9</v>
      </c>
      <c r="F4" s="12" t="s">
        <v>13</v>
      </c>
      <c r="G4" s="12" t="s">
        <v>14</v>
      </c>
      <c r="H4" s="12" t="s">
        <v>8</v>
      </c>
    </row>
    <row r="5" spans="1:8">
      <c r="A5" s="7">
        <v>46113</v>
      </c>
      <c r="B5" s="6" t="s">
        <v>48</v>
      </c>
      <c r="C5" s="6" t="s">
        <v>17</v>
      </c>
      <c r="D5" s="6" t="s">
        <v>327</v>
      </c>
      <c r="E5" s="6" t="s">
        <v>15</v>
      </c>
      <c r="F5" s="6">
        <v>5</v>
      </c>
      <c r="G5" s="6">
        <v>140</v>
      </c>
      <c r="H5" s="6">
        <v>700</v>
      </c>
    </row>
    <row r="6" spans="1:8">
      <c r="A6" s="7">
        <v>46113</v>
      </c>
      <c r="B6" s="6" t="s">
        <v>49</v>
      </c>
      <c r="C6" s="6" t="s">
        <v>17</v>
      </c>
      <c r="D6" s="6" t="s">
        <v>302</v>
      </c>
      <c r="E6" s="6" t="s">
        <v>15</v>
      </c>
      <c r="F6" s="6">
        <v>50</v>
      </c>
      <c r="G6" s="6">
        <v>190</v>
      </c>
      <c r="H6" s="6">
        <v>9500</v>
      </c>
    </row>
    <row r="7" spans="1:8">
      <c r="A7" s="7">
        <v>46113</v>
      </c>
      <c r="B7" s="6" t="s">
        <v>50</v>
      </c>
      <c r="C7" s="6" t="s">
        <v>51</v>
      </c>
      <c r="D7" s="6" t="s">
        <v>52</v>
      </c>
      <c r="E7" s="6" t="s">
        <v>15</v>
      </c>
      <c r="F7" s="6">
        <v>210</v>
      </c>
      <c r="G7" s="6">
        <v>115</v>
      </c>
      <c r="H7" s="6">
        <v>24150</v>
      </c>
    </row>
    <row r="8" spans="1:8">
      <c r="A8" s="7">
        <v>46114</v>
      </c>
      <c r="B8" s="6" t="s">
        <v>57</v>
      </c>
      <c r="C8" s="6" t="s">
        <v>17</v>
      </c>
      <c r="D8" s="6" t="s">
        <v>58</v>
      </c>
      <c r="E8" s="6" t="s">
        <v>15</v>
      </c>
      <c r="F8" s="6">
        <v>100</v>
      </c>
      <c r="G8" s="6">
        <v>540</v>
      </c>
      <c r="H8" s="6">
        <v>54000</v>
      </c>
    </row>
    <row r="9" spans="1:8">
      <c r="A9" s="7">
        <v>46114</v>
      </c>
      <c r="B9" s="6" t="s">
        <v>48</v>
      </c>
      <c r="C9" s="6" t="s">
        <v>17</v>
      </c>
      <c r="D9" s="13" t="s">
        <v>327</v>
      </c>
      <c r="E9" s="6" t="s">
        <v>15</v>
      </c>
      <c r="F9" s="6">
        <v>26</v>
      </c>
      <c r="G9" s="6">
        <v>140</v>
      </c>
      <c r="H9" s="6">
        <v>3640</v>
      </c>
    </row>
    <row r="10" spans="1:8">
      <c r="A10" s="7">
        <v>46114</v>
      </c>
      <c r="B10" s="6" t="s">
        <v>67</v>
      </c>
      <c r="C10" s="6" t="s">
        <v>17</v>
      </c>
      <c r="D10" s="6" t="s">
        <v>327</v>
      </c>
      <c r="E10" s="6" t="s">
        <v>15</v>
      </c>
      <c r="F10" s="6">
        <v>26</v>
      </c>
      <c r="G10" s="6">
        <v>135</v>
      </c>
      <c r="H10" s="6">
        <v>3510</v>
      </c>
    </row>
    <row r="11" spans="1:8">
      <c r="A11" s="7">
        <v>46114</v>
      </c>
      <c r="B11" s="6" t="s">
        <v>18</v>
      </c>
      <c r="C11" s="6" t="s">
        <v>17</v>
      </c>
      <c r="D11" s="6" t="s">
        <v>302</v>
      </c>
      <c r="E11" s="6" t="s">
        <v>15</v>
      </c>
      <c r="F11" s="6">
        <v>210</v>
      </c>
      <c r="G11" s="6">
        <v>153</v>
      </c>
      <c r="H11" s="6">
        <v>32130</v>
      </c>
    </row>
    <row r="12" spans="1:8">
      <c r="A12" s="7">
        <v>46114</v>
      </c>
      <c r="B12" s="6" t="s">
        <v>16</v>
      </c>
      <c r="C12" s="6" t="s">
        <v>17</v>
      </c>
      <c r="D12" s="6" t="s">
        <v>302</v>
      </c>
      <c r="E12" s="6" t="s">
        <v>15</v>
      </c>
      <c r="F12" s="6">
        <v>210</v>
      </c>
      <c r="G12" s="6">
        <v>170</v>
      </c>
      <c r="H12" s="6">
        <v>35700</v>
      </c>
    </row>
    <row r="13" spans="1:8">
      <c r="A13" s="7">
        <v>46114</v>
      </c>
      <c r="B13" s="6" t="s">
        <v>56</v>
      </c>
      <c r="C13" s="6" t="s">
        <v>17</v>
      </c>
      <c r="D13" s="6" t="s">
        <v>302</v>
      </c>
      <c r="E13" s="6" t="s">
        <v>15</v>
      </c>
      <c r="F13" s="6">
        <v>420</v>
      </c>
      <c r="G13" s="6">
        <v>148</v>
      </c>
      <c r="H13" s="6">
        <v>62160</v>
      </c>
    </row>
    <row r="14" spans="1:8">
      <c r="A14" s="7">
        <v>46114</v>
      </c>
      <c r="B14" s="6" t="s">
        <v>55</v>
      </c>
      <c r="C14" s="6" t="s">
        <v>17</v>
      </c>
      <c r="D14" s="6" t="s">
        <v>302</v>
      </c>
      <c r="E14" s="6" t="s">
        <v>15</v>
      </c>
      <c r="F14" s="6">
        <v>26</v>
      </c>
      <c r="G14" s="6">
        <v>160</v>
      </c>
      <c r="H14" s="6">
        <v>4160</v>
      </c>
    </row>
    <row r="15" spans="1:8">
      <c r="A15" s="7">
        <v>46114</v>
      </c>
      <c r="B15" s="6" t="s">
        <v>54</v>
      </c>
      <c r="C15" s="6" t="s">
        <v>17</v>
      </c>
      <c r="D15" s="6" t="s">
        <v>302</v>
      </c>
      <c r="E15" s="6" t="s">
        <v>15</v>
      </c>
      <c r="F15" s="6">
        <v>52</v>
      </c>
      <c r="G15" s="6">
        <v>160</v>
      </c>
      <c r="H15" s="6">
        <v>8320</v>
      </c>
    </row>
    <row r="16" spans="1:8">
      <c r="A16" s="7">
        <v>46114</v>
      </c>
      <c r="B16" s="6" t="s">
        <v>53</v>
      </c>
      <c r="C16" s="6" t="s">
        <v>17</v>
      </c>
      <c r="D16" s="6" t="s">
        <v>302</v>
      </c>
      <c r="E16" s="6" t="s">
        <v>15</v>
      </c>
      <c r="F16" s="6">
        <v>50</v>
      </c>
      <c r="G16" s="6">
        <v>155</v>
      </c>
      <c r="H16" s="6">
        <v>7750</v>
      </c>
    </row>
    <row r="17" spans="1:8">
      <c r="A17" s="7">
        <v>46114</v>
      </c>
      <c r="B17" s="6" t="s">
        <v>228</v>
      </c>
      <c r="C17" s="6" t="s">
        <v>17</v>
      </c>
      <c r="D17" s="6" t="s">
        <v>229</v>
      </c>
      <c r="E17" s="6" t="s">
        <v>62</v>
      </c>
      <c r="F17" s="6">
        <v>200</v>
      </c>
      <c r="G17" s="6">
        <v>70</v>
      </c>
      <c r="H17" s="6">
        <v>14000</v>
      </c>
    </row>
    <row r="18" spans="1:8">
      <c r="A18" s="7">
        <v>46114</v>
      </c>
      <c r="B18" s="6" t="s">
        <v>228</v>
      </c>
      <c r="C18" s="6" t="s">
        <v>17</v>
      </c>
      <c r="D18" s="6" t="s">
        <v>108</v>
      </c>
      <c r="E18" s="6" t="s">
        <v>62</v>
      </c>
      <c r="F18" s="6">
        <v>100</v>
      </c>
      <c r="G18" s="6">
        <v>250</v>
      </c>
      <c r="H18" s="6">
        <v>25000</v>
      </c>
    </row>
    <row r="19" spans="1:8">
      <c r="A19" s="7">
        <v>46114</v>
      </c>
      <c r="B19" s="6" t="s">
        <v>231</v>
      </c>
      <c r="C19" s="6" t="s">
        <v>17</v>
      </c>
      <c r="D19" s="13" t="s">
        <v>109</v>
      </c>
      <c r="E19" s="6" t="s">
        <v>62</v>
      </c>
      <c r="F19" s="6">
        <v>100</v>
      </c>
      <c r="G19" s="6">
        <v>400</v>
      </c>
      <c r="H19" s="6">
        <v>40000</v>
      </c>
    </row>
    <row r="20" spans="1:8">
      <c r="A20" s="7">
        <v>46114</v>
      </c>
      <c r="B20" s="6" t="s">
        <v>236</v>
      </c>
      <c r="C20" s="6" t="s">
        <v>17</v>
      </c>
      <c r="D20" s="13" t="s">
        <v>110</v>
      </c>
      <c r="E20" s="6" t="s">
        <v>62</v>
      </c>
      <c r="F20" s="6">
        <v>100</v>
      </c>
      <c r="G20" s="6">
        <v>380</v>
      </c>
      <c r="H20" s="6">
        <v>38000</v>
      </c>
    </row>
    <row r="21" spans="1:8">
      <c r="A21" s="7">
        <v>46114</v>
      </c>
      <c r="B21" s="6" t="s">
        <v>234</v>
      </c>
      <c r="C21" s="6" t="s">
        <v>17</v>
      </c>
      <c r="D21" s="6" t="s">
        <v>63</v>
      </c>
      <c r="E21" s="6" t="s">
        <v>62</v>
      </c>
      <c r="F21" s="6">
        <v>500</v>
      </c>
      <c r="G21" s="6">
        <v>40</v>
      </c>
      <c r="H21" s="6">
        <v>20000</v>
      </c>
    </row>
    <row r="22" spans="1:8">
      <c r="A22" s="7">
        <v>46114</v>
      </c>
      <c r="B22" s="6" t="s">
        <v>236</v>
      </c>
      <c r="C22" s="6" t="s">
        <v>17</v>
      </c>
      <c r="D22" s="6" t="s">
        <v>237</v>
      </c>
      <c r="E22" s="6" t="s">
        <v>62</v>
      </c>
      <c r="F22" s="6">
        <v>500</v>
      </c>
      <c r="G22" s="6">
        <v>190</v>
      </c>
      <c r="H22" s="6">
        <v>95000</v>
      </c>
    </row>
    <row r="23" spans="1:8">
      <c r="A23" s="7">
        <v>46114</v>
      </c>
      <c r="B23" s="6" t="s">
        <v>231</v>
      </c>
      <c r="C23" s="6" t="s">
        <v>17</v>
      </c>
      <c r="D23" s="6" t="s">
        <v>232</v>
      </c>
      <c r="E23" s="6" t="s">
        <v>62</v>
      </c>
      <c r="F23" s="6">
        <v>200</v>
      </c>
      <c r="G23" s="6">
        <v>195</v>
      </c>
      <c r="H23" s="6">
        <v>39000</v>
      </c>
    </row>
    <row r="24" spans="1:8">
      <c r="A24" s="7">
        <v>46114</v>
      </c>
      <c r="B24" s="6" t="s">
        <v>60</v>
      </c>
      <c r="C24" s="6" t="s">
        <v>17</v>
      </c>
      <c r="D24" s="6" t="s">
        <v>61</v>
      </c>
      <c r="E24" s="6" t="s">
        <v>62</v>
      </c>
      <c r="F24" s="6">
        <v>200</v>
      </c>
      <c r="G24" s="6">
        <v>150</v>
      </c>
      <c r="H24" s="6">
        <v>30000</v>
      </c>
    </row>
    <row r="25" spans="1:8">
      <c r="A25" s="7">
        <v>46114</v>
      </c>
      <c r="B25" s="6" t="s">
        <v>65</v>
      </c>
      <c r="C25" s="6" t="s">
        <v>17</v>
      </c>
      <c r="D25" s="6" t="s">
        <v>66</v>
      </c>
      <c r="E25" s="6" t="s">
        <v>62</v>
      </c>
      <c r="F25" s="6">
        <v>100</v>
      </c>
      <c r="G25" s="6">
        <v>55</v>
      </c>
      <c r="H25" s="6">
        <v>5500</v>
      </c>
    </row>
    <row r="26" spans="1:8">
      <c r="A26" s="7">
        <v>46114</v>
      </c>
      <c r="B26" s="6" t="s">
        <v>60</v>
      </c>
      <c r="C26" s="6" t="s">
        <v>17</v>
      </c>
      <c r="D26" s="6" t="s">
        <v>63</v>
      </c>
      <c r="E26" s="6" t="s">
        <v>62</v>
      </c>
      <c r="F26" s="6">
        <v>1000</v>
      </c>
      <c r="G26" s="6">
        <v>42</v>
      </c>
      <c r="H26" s="6">
        <v>42000</v>
      </c>
    </row>
    <row r="27" spans="1:8">
      <c r="A27" s="7">
        <v>46115</v>
      </c>
      <c r="B27" s="6" t="s">
        <v>19</v>
      </c>
      <c r="C27" s="6" t="s">
        <v>17</v>
      </c>
      <c r="D27" s="13" t="s">
        <v>20</v>
      </c>
      <c r="E27" s="6" t="s">
        <v>15</v>
      </c>
      <c r="F27" s="6">
        <v>50</v>
      </c>
      <c r="G27" s="6">
        <v>155</v>
      </c>
      <c r="H27" s="6">
        <v>7750</v>
      </c>
    </row>
    <row r="28" spans="1:8">
      <c r="A28" s="7">
        <v>46115</v>
      </c>
      <c r="B28" s="6" t="s">
        <v>75</v>
      </c>
      <c r="C28" s="6" t="s">
        <v>17</v>
      </c>
      <c r="D28" s="13" t="s">
        <v>52</v>
      </c>
      <c r="E28" s="6" t="s">
        <v>15</v>
      </c>
      <c r="F28" s="6">
        <v>50</v>
      </c>
      <c r="G28" s="6">
        <v>147.80000000000001</v>
      </c>
      <c r="H28" s="6">
        <v>7390</v>
      </c>
    </row>
    <row r="29" spans="1:8">
      <c r="A29" s="7">
        <v>46115</v>
      </c>
      <c r="B29" s="6" t="s">
        <v>68</v>
      </c>
      <c r="C29" s="6" t="s">
        <v>17</v>
      </c>
      <c r="D29" s="6" t="s">
        <v>69</v>
      </c>
      <c r="E29" s="6" t="s">
        <v>15</v>
      </c>
      <c r="F29" s="6">
        <v>20</v>
      </c>
      <c r="G29" s="6">
        <v>180</v>
      </c>
      <c r="H29" s="6">
        <v>3600</v>
      </c>
    </row>
    <row r="30" spans="1:8">
      <c r="A30" s="7">
        <v>46115</v>
      </c>
      <c r="B30" s="6" t="s">
        <v>71</v>
      </c>
      <c r="C30" s="6" t="s">
        <v>17</v>
      </c>
      <c r="D30" s="6" t="s">
        <v>300</v>
      </c>
      <c r="E30" s="6" t="s">
        <v>15</v>
      </c>
      <c r="F30" s="6">
        <v>78</v>
      </c>
      <c r="G30" s="6">
        <v>122</v>
      </c>
      <c r="H30" s="6">
        <v>9516</v>
      </c>
    </row>
    <row r="31" spans="1:8">
      <c r="A31" s="7">
        <v>46115</v>
      </c>
      <c r="B31" s="6" t="s">
        <v>70</v>
      </c>
      <c r="C31" s="6" t="s">
        <v>17</v>
      </c>
      <c r="D31" s="6" t="s">
        <v>329</v>
      </c>
      <c r="E31" s="6" t="s">
        <v>15</v>
      </c>
      <c r="F31" s="6">
        <v>50</v>
      </c>
      <c r="G31" s="6">
        <v>155</v>
      </c>
      <c r="H31" s="6">
        <v>7750</v>
      </c>
    </row>
    <row r="32" spans="1:8">
      <c r="A32" s="7">
        <v>46115</v>
      </c>
      <c r="B32" s="6" t="s">
        <v>239</v>
      </c>
      <c r="C32" s="6" t="s">
        <v>17</v>
      </c>
      <c r="D32" s="6" t="s">
        <v>229</v>
      </c>
      <c r="E32" s="6" t="s">
        <v>62</v>
      </c>
      <c r="F32" s="6">
        <v>300</v>
      </c>
      <c r="G32" s="6">
        <v>70</v>
      </c>
      <c r="H32" s="6">
        <v>21000</v>
      </c>
    </row>
    <row r="33" spans="1:8">
      <c r="A33" s="7">
        <v>46115</v>
      </c>
      <c r="B33" s="6" t="s">
        <v>275</v>
      </c>
      <c r="C33" s="6" t="s">
        <v>17</v>
      </c>
      <c r="D33" s="6" t="s">
        <v>101</v>
      </c>
      <c r="E33" s="6" t="s">
        <v>62</v>
      </c>
      <c r="F33" s="6">
        <v>1000</v>
      </c>
      <c r="G33" s="6">
        <v>75</v>
      </c>
      <c r="H33" s="6">
        <v>75000</v>
      </c>
    </row>
    <row r="34" spans="1:8">
      <c r="A34" s="7">
        <v>46115</v>
      </c>
      <c r="B34" s="6" t="s">
        <v>275</v>
      </c>
      <c r="C34" s="6" t="s">
        <v>17</v>
      </c>
      <c r="D34" s="6" t="s">
        <v>101</v>
      </c>
      <c r="E34" s="6" t="s">
        <v>62</v>
      </c>
      <c r="F34" s="6">
        <v>100</v>
      </c>
      <c r="G34" s="6">
        <v>75</v>
      </c>
      <c r="H34" s="6">
        <v>7500</v>
      </c>
    </row>
    <row r="35" spans="1:8">
      <c r="A35" s="7">
        <v>46115</v>
      </c>
      <c r="B35" s="6" t="s">
        <v>67</v>
      </c>
      <c r="C35" s="6" t="s">
        <v>17</v>
      </c>
      <c r="D35" s="6" t="s">
        <v>74</v>
      </c>
      <c r="E35" s="6" t="s">
        <v>62</v>
      </c>
      <c r="F35" s="6">
        <v>8</v>
      </c>
      <c r="G35" s="6">
        <v>135</v>
      </c>
      <c r="H35" s="6">
        <v>1080</v>
      </c>
    </row>
    <row r="36" spans="1:8">
      <c r="A36" s="7">
        <v>46115</v>
      </c>
      <c r="B36" s="6" t="s">
        <v>67</v>
      </c>
      <c r="C36" s="6" t="s">
        <v>17</v>
      </c>
      <c r="D36" s="6" t="s">
        <v>74</v>
      </c>
      <c r="E36" s="6" t="s">
        <v>62</v>
      </c>
      <c r="F36" s="6">
        <v>2</v>
      </c>
      <c r="G36" s="6">
        <v>135</v>
      </c>
      <c r="H36" s="6">
        <v>270</v>
      </c>
    </row>
    <row r="37" spans="1:8">
      <c r="A37" s="7">
        <v>46115</v>
      </c>
      <c r="B37" s="6" t="s">
        <v>77</v>
      </c>
      <c r="C37" s="6" t="s">
        <v>17</v>
      </c>
      <c r="D37" s="6" t="s">
        <v>78</v>
      </c>
      <c r="E37" s="6" t="s">
        <v>62</v>
      </c>
      <c r="F37" s="6">
        <v>100</v>
      </c>
      <c r="G37" s="6">
        <v>180</v>
      </c>
      <c r="H37" s="6">
        <v>18000</v>
      </c>
    </row>
    <row r="38" spans="1:8">
      <c r="A38" s="7">
        <v>46115</v>
      </c>
      <c r="B38" s="6" t="s">
        <v>275</v>
      </c>
      <c r="C38" s="6" t="s">
        <v>17</v>
      </c>
      <c r="D38" s="6" t="s">
        <v>63</v>
      </c>
      <c r="E38" s="6" t="s">
        <v>62</v>
      </c>
      <c r="F38" s="6">
        <v>100</v>
      </c>
      <c r="G38" s="6">
        <v>35</v>
      </c>
      <c r="H38" s="6">
        <v>3500</v>
      </c>
    </row>
    <row r="39" spans="1:8">
      <c r="A39" s="7">
        <v>46115</v>
      </c>
      <c r="B39" s="6" t="s">
        <v>275</v>
      </c>
      <c r="C39" s="6" t="s">
        <v>17</v>
      </c>
      <c r="D39" s="6" t="s">
        <v>63</v>
      </c>
      <c r="E39" s="6" t="s">
        <v>62</v>
      </c>
      <c r="F39" s="6">
        <v>1000</v>
      </c>
      <c r="G39" s="6">
        <v>35</v>
      </c>
      <c r="H39" s="6">
        <v>35000</v>
      </c>
    </row>
    <row r="40" spans="1:8">
      <c r="A40" s="7">
        <v>46115</v>
      </c>
      <c r="B40" s="6" t="s">
        <v>67</v>
      </c>
      <c r="C40" s="6" t="s">
        <v>17</v>
      </c>
      <c r="D40" s="13" t="s">
        <v>73</v>
      </c>
      <c r="E40" s="6" t="s">
        <v>62</v>
      </c>
      <c r="F40" s="6">
        <v>2</v>
      </c>
      <c r="G40" s="6">
        <v>155</v>
      </c>
      <c r="H40" s="6">
        <v>310</v>
      </c>
    </row>
    <row r="41" spans="1:8">
      <c r="A41" s="7">
        <v>46115</v>
      </c>
      <c r="B41" s="6" t="s">
        <v>67</v>
      </c>
      <c r="C41" s="6" t="s">
        <v>17</v>
      </c>
      <c r="D41" s="13" t="s">
        <v>73</v>
      </c>
      <c r="E41" s="6" t="s">
        <v>62</v>
      </c>
      <c r="F41" s="6">
        <v>8</v>
      </c>
      <c r="G41" s="6">
        <v>155</v>
      </c>
      <c r="H41" s="6">
        <v>1240</v>
      </c>
    </row>
    <row r="42" spans="1:8">
      <c r="A42" s="7">
        <v>46116</v>
      </c>
      <c r="B42" s="6" t="s">
        <v>96</v>
      </c>
      <c r="C42" s="6" t="s">
        <v>17</v>
      </c>
      <c r="D42" s="13" t="s">
        <v>97</v>
      </c>
      <c r="E42" s="6" t="s">
        <v>15</v>
      </c>
      <c r="F42" s="6">
        <v>50</v>
      </c>
      <c r="G42" s="6">
        <v>197</v>
      </c>
      <c r="H42" s="6">
        <v>9850</v>
      </c>
    </row>
    <row r="43" spans="1:8">
      <c r="A43" s="7">
        <v>46116</v>
      </c>
      <c r="B43" s="6" t="s">
        <v>91</v>
      </c>
      <c r="C43" s="6" t="s">
        <v>17</v>
      </c>
      <c r="D43" s="13" t="s">
        <v>36</v>
      </c>
      <c r="E43" s="6" t="s">
        <v>15</v>
      </c>
      <c r="F43" s="6">
        <v>5</v>
      </c>
      <c r="G43" s="6">
        <v>340</v>
      </c>
      <c r="H43" s="6">
        <v>1700</v>
      </c>
    </row>
    <row r="44" spans="1:8">
      <c r="A44" s="7">
        <v>46116</v>
      </c>
      <c r="B44" s="6" t="s">
        <v>96</v>
      </c>
      <c r="C44" s="6" t="s">
        <v>17</v>
      </c>
      <c r="D44" s="13" t="s">
        <v>52</v>
      </c>
      <c r="E44" s="6" t="s">
        <v>15</v>
      </c>
      <c r="F44" s="6">
        <v>100</v>
      </c>
      <c r="G44" s="6">
        <v>190</v>
      </c>
      <c r="H44" s="6">
        <v>19000</v>
      </c>
    </row>
    <row r="45" spans="1:8">
      <c r="A45" s="7">
        <v>46116</v>
      </c>
      <c r="B45" s="6" t="s">
        <v>84</v>
      </c>
      <c r="C45" s="6" t="s">
        <v>17</v>
      </c>
      <c r="D45" s="13" t="s">
        <v>52</v>
      </c>
      <c r="E45" s="6" t="s">
        <v>15</v>
      </c>
      <c r="F45" s="6">
        <v>100</v>
      </c>
      <c r="G45" s="6">
        <v>180</v>
      </c>
      <c r="H45" s="6">
        <v>18000</v>
      </c>
    </row>
    <row r="46" spans="1:8">
      <c r="A46" s="7">
        <v>46116</v>
      </c>
      <c r="B46" s="6" t="s">
        <v>82</v>
      </c>
      <c r="C46" s="6" t="s">
        <v>17</v>
      </c>
      <c r="D46" s="13" t="s">
        <v>83</v>
      </c>
      <c r="E46" s="6" t="s">
        <v>15</v>
      </c>
      <c r="F46" s="6">
        <v>20</v>
      </c>
      <c r="G46" s="6">
        <v>505</v>
      </c>
      <c r="H46" s="6">
        <v>10100</v>
      </c>
    </row>
    <row r="47" spans="1:8">
      <c r="A47" s="7">
        <v>46116</v>
      </c>
      <c r="B47" s="6" t="s">
        <v>79</v>
      </c>
      <c r="C47" s="6" t="s">
        <v>17</v>
      </c>
      <c r="D47" s="6" t="s">
        <v>81</v>
      </c>
      <c r="E47" s="6" t="s">
        <v>15</v>
      </c>
      <c r="F47" s="6">
        <v>200</v>
      </c>
      <c r="G47" s="6">
        <v>463</v>
      </c>
      <c r="H47" s="6">
        <v>92600</v>
      </c>
    </row>
    <row r="48" spans="1:8">
      <c r="A48" s="7">
        <v>46116</v>
      </c>
      <c r="B48" s="6" t="s">
        <v>84</v>
      </c>
      <c r="C48" s="6" t="s">
        <v>17</v>
      </c>
      <c r="D48" s="6" t="s">
        <v>81</v>
      </c>
      <c r="E48" s="6" t="s">
        <v>15</v>
      </c>
      <c r="F48" s="6">
        <v>20</v>
      </c>
      <c r="G48" s="6">
        <v>535</v>
      </c>
      <c r="H48" s="6">
        <v>10700</v>
      </c>
    </row>
    <row r="49" spans="1:8">
      <c r="A49" s="7">
        <v>46116</v>
      </c>
      <c r="B49" s="6" t="s">
        <v>21</v>
      </c>
      <c r="C49" s="6" t="s">
        <v>17</v>
      </c>
      <c r="D49" s="6" t="s">
        <v>302</v>
      </c>
      <c r="E49" s="6" t="s">
        <v>15</v>
      </c>
      <c r="F49" s="6">
        <v>50</v>
      </c>
      <c r="G49" s="6">
        <v>200</v>
      </c>
      <c r="H49" s="6">
        <v>10000</v>
      </c>
    </row>
    <row r="50" spans="1:8">
      <c r="A50" s="7">
        <v>46116</v>
      </c>
      <c r="B50" s="6" t="s">
        <v>98</v>
      </c>
      <c r="C50" s="6" t="s">
        <v>17</v>
      </c>
      <c r="D50" s="6" t="s">
        <v>302</v>
      </c>
      <c r="E50" s="6" t="s">
        <v>15</v>
      </c>
      <c r="F50" s="6">
        <v>300</v>
      </c>
      <c r="G50" s="6">
        <v>140</v>
      </c>
      <c r="H50" s="6">
        <v>42000</v>
      </c>
    </row>
    <row r="51" spans="1:8">
      <c r="A51" s="7">
        <v>46116</v>
      </c>
      <c r="B51" s="6" t="s">
        <v>95</v>
      </c>
      <c r="C51" s="6" t="s">
        <v>17</v>
      </c>
      <c r="D51" s="6" t="s">
        <v>302</v>
      </c>
      <c r="E51" s="6" t="s">
        <v>15</v>
      </c>
      <c r="F51" s="6">
        <v>100</v>
      </c>
      <c r="G51" s="6">
        <v>160</v>
      </c>
      <c r="H51" s="6">
        <v>16000</v>
      </c>
    </row>
    <row r="52" spans="1:8">
      <c r="A52" s="7">
        <v>46116</v>
      </c>
      <c r="B52" s="6" t="s">
        <v>90</v>
      </c>
      <c r="C52" s="6" t="s">
        <v>17</v>
      </c>
      <c r="D52" s="13" t="s">
        <v>302</v>
      </c>
      <c r="E52" s="6" t="s">
        <v>15</v>
      </c>
      <c r="F52" s="6">
        <v>26</v>
      </c>
      <c r="G52" s="6">
        <v>160</v>
      </c>
      <c r="H52" s="6">
        <v>4160</v>
      </c>
    </row>
    <row r="53" spans="1:8">
      <c r="A53" s="7">
        <v>46116</v>
      </c>
      <c r="B53" s="6" t="s">
        <v>92</v>
      </c>
      <c r="C53" s="6" t="s">
        <v>17</v>
      </c>
      <c r="D53" s="6" t="s">
        <v>93</v>
      </c>
      <c r="E53" s="6" t="s">
        <v>15</v>
      </c>
      <c r="F53" s="6">
        <v>26</v>
      </c>
      <c r="G53" s="6">
        <v>270</v>
      </c>
      <c r="H53" s="6">
        <v>7020</v>
      </c>
    </row>
    <row r="54" spans="1:8">
      <c r="A54" s="7">
        <v>46116</v>
      </c>
      <c r="B54" s="6" t="s">
        <v>79</v>
      </c>
      <c r="C54" s="6" t="s">
        <v>17</v>
      </c>
      <c r="D54" s="6" t="s">
        <v>80</v>
      </c>
      <c r="E54" s="6" t="s">
        <v>62</v>
      </c>
      <c r="F54" s="6">
        <v>18</v>
      </c>
      <c r="G54" s="6">
        <v>340</v>
      </c>
      <c r="H54" s="6">
        <v>6120</v>
      </c>
    </row>
    <row r="55" spans="1:8">
      <c r="A55" s="7">
        <v>46116</v>
      </c>
      <c r="B55" s="6" t="s">
        <v>50</v>
      </c>
      <c r="C55" s="6" t="s">
        <v>51</v>
      </c>
      <c r="D55" s="6" t="s">
        <v>99</v>
      </c>
      <c r="E55" s="6" t="s">
        <v>27</v>
      </c>
      <c r="F55" s="6">
        <v>90</v>
      </c>
      <c r="G55" s="6">
        <v>185</v>
      </c>
      <c r="H55" s="6">
        <v>16650</v>
      </c>
    </row>
    <row r="56" spans="1:8">
      <c r="A56" s="7">
        <v>46116</v>
      </c>
      <c r="B56" s="6" t="s">
        <v>86</v>
      </c>
      <c r="C56" s="6" t="s">
        <v>17</v>
      </c>
      <c r="D56" s="6" t="s">
        <v>87</v>
      </c>
      <c r="E56" s="6" t="s">
        <v>62</v>
      </c>
      <c r="F56" s="6">
        <v>20</v>
      </c>
      <c r="G56" s="6">
        <v>580</v>
      </c>
      <c r="H56" s="6">
        <v>11600</v>
      </c>
    </row>
    <row r="57" spans="1:8">
      <c r="A57" s="7">
        <v>46116</v>
      </c>
      <c r="B57" s="6" t="s">
        <v>86</v>
      </c>
      <c r="C57" s="6" t="s">
        <v>17</v>
      </c>
      <c r="D57" s="6" t="s">
        <v>66</v>
      </c>
      <c r="E57" s="6" t="s">
        <v>62</v>
      </c>
      <c r="F57" s="6">
        <v>100</v>
      </c>
      <c r="G57" s="6">
        <v>70</v>
      </c>
      <c r="H57" s="6">
        <v>7000</v>
      </c>
    </row>
    <row r="58" spans="1:8">
      <c r="A58" s="7">
        <v>46116</v>
      </c>
      <c r="B58" s="6" t="s">
        <v>275</v>
      </c>
      <c r="C58" s="6" t="s">
        <v>17</v>
      </c>
      <c r="D58" s="6" t="s">
        <v>277</v>
      </c>
      <c r="E58" s="6" t="s">
        <v>62</v>
      </c>
      <c r="F58" s="6">
        <v>500</v>
      </c>
      <c r="G58" s="6">
        <v>75</v>
      </c>
      <c r="H58" s="6">
        <v>37500</v>
      </c>
    </row>
    <row r="59" spans="1:8">
      <c r="A59" s="7">
        <v>46116</v>
      </c>
      <c r="B59" s="6" t="s">
        <v>86</v>
      </c>
      <c r="C59" s="6" t="s">
        <v>17</v>
      </c>
      <c r="D59" s="6" t="s">
        <v>88</v>
      </c>
      <c r="E59" s="6" t="s">
        <v>62</v>
      </c>
      <c r="F59" s="6">
        <v>100</v>
      </c>
      <c r="G59" s="6">
        <v>240</v>
      </c>
      <c r="H59" s="6">
        <v>24000</v>
      </c>
    </row>
    <row r="60" spans="1:8">
      <c r="A60" s="7">
        <v>46116</v>
      </c>
      <c r="B60" s="6" t="s">
        <v>86</v>
      </c>
      <c r="C60" s="6" t="s">
        <v>17</v>
      </c>
      <c r="D60" s="6" t="s">
        <v>63</v>
      </c>
      <c r="E60" s="6" t="s">
        <v>62</v>
      </c>
      <c r="F60" s="6">
        <v>100</v>
      </c>
      <c r="G60" s="6">
        <v>45</v>
      </c>
      <c r="H60" s="6">
        <v>4500</v>
      </c>
    </row>
    <row r="61" spans="1:8">
      <c r="A61" s="7">
        <v>46116</v>
      </c>
      <c r="B61" s="6" t="s">
        <v>86</v>
      </c>
      <c r="C61" s="6" t="s">
        <v>17</v>
      </c>
      <c r="D61" s="6" t="s">
        <v>89</v>
      </c>
      <c r="E61" s="6" t="s">
        <v>62</v>
      </c>
      <c r="F61" s="6">
        <v>150</v>
      </c>
      <c r="G61" s="6">
        <v>140</v>
      </c>
      <c r="H61" s="6">
        <v>21000</v>
      </c>
    </row>
    <row r="62" spans="1:8">
      <c r="A62" s="7">
        <v>46116</v>
      </c>
      <c r="B62" s="6" t="s">
        <v>275</v>
      </c>
      <c r="C62" s="6" t="s">
        <v>17</v>
      </c>
      <c r="D62" s="6" t="s">
        <v>204</v>
      </c>
      <c r="E62" s="6" t="s">
        <v>62</v>
      </c>
      <c r="F62" s="6">
        <v>500</v>
      </c>
      <c r="G62" s="6">
        <v>95</v>
      </c>
      <c r="H62" s="6">
        <v>47500</v>
      </c>
    </row>
    <row r="63" spans="1:8">
      <c r="A63" s="7">
        <v>46118</v>
      </c>
      <c r="B63" s="6" t="s">
        <v>22</v>
      </c>
      <c r="C63" s="6" t="s">
        <v>17</v>
      </c>
      <c r="D63" s="6" t="s">
        <v>81</v>
      </c>
      <c r="E63" s="6" t="s">
        <v>15</v>
      </c>
      <c r="F63" s="6">
        <v>210</v>
      </c>
      <c r="G63" s="6">
        <v>537</v>
      </c>
      <c r="H63" s="6">
        <v>112770</v>
      </c>
    </row>
    <row r="64" spans="1:8">
      <c r="A64" s="7">
        <v>46118</v>
      </c>
      <c r="B64" s="6" t="s">
        <v>106</v>
      </c>
      <c r="C64" s="6" t="s">
        <v>17</v>
      </c>
      <c r="D64" s="6" t="s">
        <v>302</v>
      </c>
      <c r="E64" s="6" t="s">
        <v>15</v>
      </c>
      <c r="F64" s="6">
        <v>26</v>
      </c>
      <c r="G64" s="6">
        <v>170</v>
      </c>
      <c r="H64" s="6">
        <v>4420</v>
      </c>
    </row>
    <row r="65" spans="1:8">
      <c r="A65" s="7">
        <v>46118</v>
      </c>
      <c r="B65" s="6" t="s">
        <v>105</v>
      </c>
      <c r="C65" s="6" t="s">
        <v>17</v>
      </c>
      <c r="D65" s="13" t="s">
        <v>302</v>
      </c>
      <c r="E65" s="6" t="s">
        <v>15</v>
      </c>
      <c r="F65" s="6">
        <v>52</v>
      </c>
      <c r="G65" s="6">
        <v>180</v>
      </c>
      <c r="H65" s="6">
        <v>9360</v>
      </c>
    </row>
    <row r="66" spans="1:8">
      <c r="A66" s="7">
        <v>46118</v>
      </c>
      <c r="B66" s="6" t="s">
        <v>241</v>
      </c>
      <c r="C66" s="6" t="s">
        <v>17</v>
      </c>
      <c r="D66" s="13" t="s">
        <v>107</v>
      </c>
      <c r="E66" s="6" t="s">
        <v>62</v>
      </c>
      <c r="F66" s="6">
        <v>1000</v>
      </c>
      <c r="G66" s="6">
        <v>73</v>
      </c>
      <c r="H66" s="6">
        <v>73000</v>
      </c>
    </row>
    <row r="67" spans="1:8">
      <c r="A67" s="7">
        <v>46118</v>
      </c>
      <c r="B67" s="6" t="s">
        <v>103</v>
      </c>
      <c r="C67" s="6" t="s">
        <v>17</v>
      </c>
      <c r="D67" s="13" t="s">
        <v>104</v>
      </c>
      <c r="E67" s="6" t="s">
        <v>62</v>
      </c>
      <c r="F67" s="6">
        <v>700</v>
      </c>
      <c r="G67" s="6">
        <v>48</v>
      </c>
      <c r="H67" s="6">
        <v>33600</v>
      </c>
    </row>
    <row r="68" spans="1:8">
      <c r="A68" s="7">
        <v>46118</v>
      </c>
      <c r="B68" s="6" t="s">
        <v>57</v>
      </c>
      <c r="C68" s="6" t="s">
        <v>17</v>
      </c>
      <c r="D68" s="13" t="s">
        <v>61</v>
      </c>
      <c r="E68" s="6" t="s">
        <v>62</v>
      </c>
      <c r="F68" s="6">
        <v>500</v>
      </c>
      <c r="G68" s="6">
        <v>135</v>
      </c>
      <c r="H68" s="6">
        <v>67500</v>
      </c>
    </row>
    <row r="69" spans="1:8">
      <c r="A69" s="7">
        <v>46118</v>
      </c>
      <c r="B69" s="6" t="s">
        <v>57</v>
      </c>
      <c r="C69" s="6" t="s">
        <v>17</v>
      </c>
      <c r="D69" s="13" t="s">
        <v>101</v>
      </c>
      <c r="E69" s="6" t="s">
        <v>62</v>
      </c>
      <c r="F69" s="6">
        <v>1000</v>
      </c>
      <c r="G69" s="6">
        <v>95</v>
      </c>
      <c r="H69" s="6">
        <v>95000</v>
      </c>
    </row>
    <row r="70" spans="1:8">
      <c r="A70" s="7">
        <v>46118</v>
      </c>
      <c r="B70" s="6" t="s">
        <v>57</v>
      </c>
      <c r="C70" s="6" t="s">
        <v>17</v>
      </c>
      <c r="D70" s="13" t="s">
        <v>87</v>
      </c>
      <c r="E70" s="6" t="s">
        <v>62</v>
      </c>
      <c r="F70" s="6">
        <v>60</v>
      </c>
      <c r="G70" s="6">
        <v>540</v>
      </c>
      <c r="H70" s="6">
        <v>32400</v>
      </c>
    </row>
    <row r="71" spans="1:8">
      <c r="A71" s="7">
        <v>46118</v>
      </c>
      <c r="B71" s="6" t="s">
        <v>103</v>
      </c>
      <c r="C71" s="6" t="s">
        <v>17</v>
      </c>
      <c r="D71" s="13" t="s">
        <v>88</v>
      </c>
      <c r="E71" s="6" t="s">
        <v>62</v>
      </c>
      <c r="F71" s="6">
        <v>500</v>
      </c>
      <c r="G71" s="6">
        <v>259</v>
      </c>
      <c r="H71" s="6">
        <v>129500</v>
      </c>
    </row>
    <row r="72" spans="1:8">
      <c r="A72" s="7">
        <v>46119</v>
      </c>
      <c r="B72" s="6" t="s">
        <v>115</v>
      </c>
      <c r="C72" s="6" t="s">
        <v>17</v>
      </c>
      <c r="D72" s="13" t="s">
        <v>36</v>
      </c>
      <c r="E72" s="6" t="s">
        <v>15</v>
      </c>
      <c r="F72" s="6">
        <v>26</v>
      </c>
      <c r="G72" s="6">
        <v>400</v>
      </c>
      <c r="H72" s="6">
        <v>10400</v>
      </c>
    </row>
    <row r="73" spans="1:8">
      <c r="A73" s="7">
        <v>46119</v>
      </c>
      <c r="B73" s="6" t="s">
        <v>116</v>
      </c>
      <c r="C73" s="6" t="s">
        <v>17</v>
      </c>
      <c r="D73" s="13" t="s">
        <v>117</v>
      </c>
      <c r="E73" s="6" t="s">
        <v>15</v>
      </c>
      <c r="F73" s="6">
        <v>40</v>
      </c>
      <c r="G73" s="6">
        <v>162</v>
      </c>
      <c r="H73" s="6">
        <v>6480</v>
      </c>
    </row>
    <row r="74" spans="1:8">
      <c r="A74" s="7">
        <v>46119</v>
      </c>
      <c r="B74" s="6" t="s">
        <v>22</v>
      </c>
      <c r="C74" s="6" t="s">
        <v>17</v>
      </c>
      <c r="D74" s="13" t="s">
        <v>81</v>
      </c>
      <c r="E74" s="6" t="s">
        <v>15</v>
      </c>
      <c r="F74" s="6">
        <v>120</v>
      </c>
      <c r="G74" s="6">
        <v>537</v>
      </c>
      <c r="H74" s="6">
        <v>64440</v>
      </c>
    </row>
    <row r="75" spans="1:8">
      <c r="A75" s="7">
        <v>46119</v>
      </c>
      <c r="B75" s="6" t="s">
        <v>116</v>
      </c>
      <c r="C75" s="6" t="s">
        <v>17</v>
      </c>
      <c r="D75" s="13" t="s">
        <v>58</v>
      </c>
      <c r="E75" s="6" t="s">
        <v>15</v>
      </c>
      <c r="F75" s="6">
        <v>40</v>
      </c>
      <c r="G75" s="6">
        <v>498</v>
      </c>
      <c r="H75" s="6">
        <v>19920</v>
      </c>
    </row>
    <row r="76" spans="1:8">
      <c r="A76" s="7">
        <v>46119</v>
      </c>
      <c r="B76" s="6" t="s">
        <v>118</v>
      </c>
      <c r="C76" s="6" t="s">
        <v>17</v>
      </c>
      <c r="D76" s="13" t="s">
        <v>327</v>
      </c>
      <c r="E76" s="6" t="s">
        <v>15</v>
      </c>
      <c r="F76" s="6">
        <v>52</v>
      </c>
      <c r="G76" s="6">
        <v>150</v>
      </c>
      <c r="H76" s="6">
        <v>7800</v>
      </c>
    </row>
    <row r="77" spans="1:8">
      <c r="A77" s="7">
        <v>46119</v>
      </c>
      <c r="B77" s="6" t="s">
        <v>115</v>
      </c>
      <c r="C77" s="6" t="s">
        <v>17</v>
      </c>
      <c r="D77" s="13" t="s">
        <v>302</v>
      </c>
      <c r="E77" s="6" t="s">
        <v>15</v>
      </c>
      <c r="F77" s="6">
        <v>210</v>
      </c>
      <c r="G77" s="6">
        <v>200</v>
      </c>
      <c r="H77" s="6">
        <v>42000</v>
      </c>
    </row>
    <row r="78" spans="1:8">
      <c r="A78" s="7">
        <v>46119</v>
      </c>
      <c r="B78" s="6" t="s">
        <v>111</v>
      </c>
      <c r="C78" s="6" t="s">
        <v>112</v>
      </c>
      <c r="D78" s="13" t="s">
        <v>114</v>
      </c>
      <c r="E78" s="6" t="s">
        <v>15</v>
      </c>
      <c r="F78" s="6">
        <v>26</v>
      </c>
      <c r="G78" s="6">
        <v>435</v>
      </c>
      <c r="H78" s="6">
        <v>11310</v>
      </c>
    </row>
    <row r="79" spans="1:8">
      <c r="A79" s="7">
        <v>46119</v>
      </c>
      <c r="B79" s="6" t="s">
        <v>111</v>
      </c>
      <c r="C79" s="6" t="s">
        <v>112</v>
      </c>
      <c r="D79" s="13" t="s">
        <v>113</v>
      </c>
      <c r="E79" s="6" t="s">
        <v>15</v>
      </c>
      <c r="F79" s="6">
        <v>210</v>
      </c>
      <c r="G79" s="6">
        <v>245</v>
      </c>
      <c r="H79" s="6">
        <v>51450</v>
      </c>
    </row>
    <row r="80" spans="1:8">
      <c r="A80" s="7">
        <v>46119</v>
      </c>
      <c r="B80" s="6" t="s">
        <v>57</v>
      </c>
      <c r="C80" s="6" t="s">
        <v>17</v>
      </c>
      <c r="D80" s="13" t="s">
        <v>121</v>
      </c>
      <c r="E80" s="6" t="s">
        <v>62</v>
      </c>
      <c r="F80" s="6">
        <v>500</v>
      </c>
      <c r="G80" s="6">
        <v>65</v>
      </c>
      <c r="H80" s="6">
        <v>32500</v>
      </c>
    </row>
    <row r="81" spans="1:8">
      <c r="A81" s="7">
        <v>46119</v>
      </c>
      <c r="B81" s="6" t="s">
        <v>57</v>
      </c>
      <c r="C81" s="6" t="s">
        <v>17</v>
      </c>
      <c r="D81" s="13" t="s">
        <v>74</v>
      </c>
      <c r="E81" s="6" t="s">
        <v>62</v>
      </c>
      <c r="F81" s="6">
        <v>500</v>
      </c>
      <c r="G81" s="6">
        <v>82</v>
      </c>
      <c r="H81" s="6">
        <v>41000</v>
      </c>
    </row>
    <row r="82" spans="1:8">
      <c r="A82" s="7">
        <v>46119</v>
      </c>
      <c r="B82" s="6" t="s">
        <v>57</v>
      </c>
      <c r="C82" s="6" t="s">
        <v>17</v>
      </c>
      <c r="D82" s="13" t="s">
        <v>66</v>
      </c>
      <c r="E82" s="6" t="s">
        <v>62</v>
      </c>
      <c r="F82" s="6">
        <v>500</v>
      </c>
      <c r="G82" s="6">
        <v>60</v>
      </c>
      <c r="H82" s="6">
        <v>30000</v>
      </c>
    </row>
    <row r="83" spans="1:8">
      <c r="A83" s="7">
        <v>46119</v>
      </c>
      <c r="B83" s="6" t="s">
        <v>57</v>
      </c>
      <c r="C83" s="6" t="s">
        <v>17</v>
      </c>
      <c r="D83" s="13" t="s">
        <v>120</v>
      </c>
      <c r="E83" s="6" t="s">
        <v>62</v>
      </c>
      <c r="F83" s="6">
        <v>500</v>
      </c>
      <c r="G83" s="6">
        <v>95</v>
      </c>
      <c r="H83" s="6">
        <v>47500</v>
      </c>
    </row>
    <row r="84" spans="1:8">
      <c r="A84" s="7">
        <v>46120</v>
      </c>
      <c r="B84" s="6" t="s">
        <v>122</v>
      </c>
      <c r="C84" s="6" t="s">
        <v>17</v>
      </c>
      <c r="D84" s="13" t="s">
        <v>40</v>
      </c>
      <c r="E84" s="6" t="s">
        <v>15</v>
      </c>
      <c r="F84" s="6">
        <v>26</v>
      </c>
      <c r="G84" s="6">
        <v>132</v>
      </c>
      <c r="H84" s="6">
        <v>3432</v>
      </c>
    </row>
    <row r="85" spans="1:8">
      <c r="A85" s="7">
        <v>46120</v>
      </c>
      <c r="B85" s="6" t="s">
        <v>122</v>
      </c>
      <c r="C85" s="6" t="s">
        <v>17</v>
      </c>
      <c r="D85" s="13" t="s">
        <v>300</v>
      </c>
      <c r="E85" s="6" t="s">
        <v>15</v>
      </c>
      <c r="F85" s="6">
        <v>26</v>
      </c>
      <c r="G85" s="6">
        <v>140</v>
      </c>
      <c r="H85" s="6">
        <v>3640</v>
      </c>
    </row>
    <row r="86" spans="1:8">
      <c r="A86" s="7">
        <v>46120</v>
      </c>
      <c r="B86" s="6" t="s">
        <v>305</v>
      </c>
      <c r="C86" s="6" t="s">
        <v>17</v>
      </c>
      <c r="D86" s="13" t="s">
        <v>327</v>
      </c>
      <c r="E86" s="6" t="s">
        <v>15</v>
      </c>
      <c r="F86" s="6">
        <v>26</v>
      </c>
      <c r="G86" s="6">
        <v>157.15</v>
      </c>
      <c r="H86" s="6">
        <v>4085.9</v>
      </c>
    </row>
    <row r="87" spans="1:8">
      <c r="A87" s="7">
        <v>46120</v>
      </c>
      <c r="B87" s="6" t="s">
        <v>24</v>
      </c>
      <c r="C87" s="6" t="s">
        <v>17</v>
      </c>
      <c r="D87" s="13" t="s">
        <v>302</v>
      </c>
      <c r="E87" s="6" t="s">
        <v>15</v>
      </c>
      <c r="F87" s="6">
        <v>26</v>
      </c>
      <c r="G87" s="6">
        <v>195</v>
      </c>
      <c r="H87" s="6">
        <v>5070</v>
      </c>
    </row>
    <row r="88" spans="1:8">
      <c r="A88" s="7">
        <v>46120</v>
      </c>
      <c r="B88" s="6" t="s">
        <v>243</v>
      </c>
      <c r="C88" s="6" t="s">
        <v>17</v>
      </c>
      <c r="D88" s="13" t="s">
        <v>229</v>
      </c>
      <c r="E88" s="6" t="s">
        <v>62</v>
      </c>
      <c r="F88" s="6">
        <v>250</v>
      </c>
      <c r="G88" s="6">
        <v>70</v>
      </c>
      <c r="H88" s="6">
        <v>17500</v>
      </c>
    </row>
    <row r="89" spans="1:8">
      <c r="A89" s="7">
        <v>46120</v>
      </c>
      <c r="B89" s="6" t="s">
        <v>228</v>
      </c>
      <c r="C89" s="6" t="s">
        <v>17</v>
      </c>
      <c r="D89" s="13" t="s">
        <v>229</v>
      </c>
      <c r="E89" s="6" t="s">
        <v>62</v>
      </c>
      <c r="F89" s="6">
        <v>250</v>
      </c>
      <c r="G89" s="6">
        <v>70</v>
      </c>
      <c r="H89" s="6">
        <v>17500</v>
      </c>
    </row>
    <row r="90" spans="1:8">
      <c r="A90" s="7">
        <v>46120</v>
      </c>
      <c r="B90" s="6" t="s">
        <v>239</v>
      </c>
      <c r="C90" s="6" t="s">
        <v>17</v>
      </c>
      <c r="D90" s="6" t="s">
        <v>229</v>
      </c>
      <c r="E90" s="6" t="s">
        <v>62</v>
      </c>
      <c r="F90" s="6">
        <v>300</v>
      </c>
      <c r="G90" s="6">
        <v>70</v>
      </c>
      <c r="H90" s="6">
        <v>21000</v>
      </c>
    </row>
    <row r="91" spans="1:8">
      <c r="A91" s="7">
        <v>46120</v>
      </c>
      <c r="B91" s="6" t="s">
        <v>243</v>
      </c>
      <c r="C91" s="6" t="s">
        <v>17</v>
      </c>
      <c r="D91" s="6" t="s">
        <v>74</v>
      </c>
      <c r="E91" s="6" t="s">
        <v>62</v>
      </c>
      <c r="F91" s="6">
        <v>250</v>
      </c>
      <c r="G91" s="6">
        <v>95</v>
      </c>
      <c r="H91" s="6">
        <v>23750</v>
      </c>
    </row>
    <row r="92" spans="1:8">
      <c r="A92" s="7">
        <v>46120</v>
      </c>
      <c r="B92" s="6" t="s">
        <v>228</v>
      </c>
      <c r="C92" s="6" t="s">
        <v>17</v>
      </c>
      <c r="D92" s="6" t="s">
        <v>74</v>
      </c>
      <c r="E92" s="6" t="s">
        <v>62</v>
      </c>
      <c r="F92" s="6">
        <v>250</v>
      </c>
      <c r="G92" s="6">
        <v>95</v>
      </c>
      <c r="H92" s="6">
        <v>23750</v>
      </c>
    </row>
    <row r="93" spans="1:8">
      <c r="A93" s="7">
        <v>46120</v>
      </c>
      <c r="B93" s="6" t="s">
        <v>243</v>
      </c>
      <c r="C93" s="6" t="s">
        <v>17</v>
      </c>
      <c r="D93" s="6" t="s">
        <v>107</v>
      </c>
      <c r="E93" s="6" t="s">
        <v>62</v>
      </c>
      <c r="F93" s="6">
        <v>300</v>
      </c>
      <c r="G93" s="6">
        <v>90</v>
      </c>
      <c r="H93" s="6">
        <v>27000</v>
      </c>
    </row>
    <row r="94" spans="1:8">
      <c r="A94" s="7">
        <v>46120</v>
      </c>
      <c r="B94" s="6" t="s">
        <v>228</v>
      </c>
      <c r="C94" s="6" t="s">
        <v>17</v>
      </c>
      <c r="D94" s="6" t="s">
        <v>245</v>
      </c>
      <c r="E94" s="6" t="s">
        <v>62</v>
      </c>
      <c r="F94" s="6">
        <v>300</v>
      </c>
      <c r="G94" s="6">
        <v>100</v>
      </c>
      <c r="H94" s="6">
        <v>30000</v>
      </c>
    </row>
    <row r="95" spans="1:8">
      <c r="A95" s="7">
        <v>46121</v>
      </c>
      <c r="B95" s="6" t="s">
        <v>309</v>
      </c>
      <c r="C95" s="6" t="s">
        <v>17</v>
      </c>
      <c r="D95" s="6" t="s">
        <v>52</v>
      </c>
      <c r="E95" s="6" t="s">
        <v>15</v>
      </c>
      <c r="F95" s="6">
        <v>10</v>
      </c>
      <c r="G95" s="6">
        <v>171.4</v>
      </c>
      <c r="H95" s="6">
        <v>1714</v>
      </c>
    </row>
    <row r="96" spans="1:8">
      <c r="A96" s="7">
        <v>46121</v>
      </c>
      <c r="B96" s="6" t="s">
        <v>307</v>
      </c>
      <c r="C96" s="6" t="s">
        <v>17</v>
      </c>
      <c r="D96" s="6" t="s">
        <v>177</v>
      </c>
      <c r="E96" s="6" t="s">
        <v>15</v>
      </c>
      <c r="F96" s="6">
        <v>5</v>
      </c>
      <c r="G96" s="6">
        <v>182.8</v>
      </c>
      <c r="H96" s="6">
        <v>914</v>
      </c>
    </row>
    <row r="97" spans="1:8">
      <c r="A97" s="7">
        <v>46121</v>
      </c>
      <c r="B97" s="6" t="s">
        <v>128</v>
      </c>
      <c r="C97" s="6" t="s">
        <v>17</v>
      </c>
      <c r="D97" s="6" t="s">
        <v>81</v>
      </c>
      <c r="E97" s="6" t="s">
        <v>15</v>
      </c>
      <c r="F97" s="6">
        <v>20</v>
      </c>
      <c r="G97" s="6">
        <v>545</v>
      </c>
      <c r="H97" s="6">
        <v>10900</v>
      </c>
    </row>
    <row r="98" spans="1:8">
      <c r="A98" s="7">
        <v>46121</v>
      </c>
      <c r="B98" s="6" t="s">
        <v>25</v>
      </c>
      <c r="C98" s="6" t="s">
        <v>17</v>
      </c>
      <c r="D98" s="6" t="s">
        <v>300</v>
      </c>
      <c r="E98" s="6" t="s">
        <v>15</v>
      </c>
      <c r="F98" s="6">
        <v>50</v>
      </c>
      <c r="G98" s="6">
        <v>142</v>
      </c>
      <c r="H98" s="6">
        <v>7100</v>
      </c>
    </row>
    <row r="99" spans="1:8">
      <c r="A99" s="7">
        <v>46121</v>
      </c>
      <c r="B99" s="6" t="s">
        <v>124</v>
      </c>
      <c r="C99" s="6" t="s">
        <v>17</v>
      </c>
      <c r="D99" s="6" t="s">
        <v>300</v>
      </c>
      <c r="E99" s="6" t="s">
        <v>15</v>
      </c>
      <c r="F99" s="6">
        <v>26</v>
      </c>
      <c r="G99" s="6">
        <v>145</v>
      </c>
      <c r="H99" s="6">
        <v>3770</v>
      </c>
    </row>
    <row r="100" spans="1:8">
      <c r="A100" s="7">
        <v>46121</v>
      </c>
      <c r="B100" s="6" t="s">
        <v>127</v>
      </c>
      <c r="C100" s="6" t="s">
        <v>17</v>
      </c>
      <c r="D100" s="6" t="s">
        <v>300</v>
      </c>
      <c r="E100" s="6" t="s">
        <v>15</v>
      </c>
      <c r="F100" s="6">
        <v>210</v>
      </c>
      <c r="G100" s="6">
        <v>135</v>
      </c>
      <c r="H100" s="6">
        <v>28350</v>
      </c>
    </row>
    <row r="101" spans="1:8">
      <c r="A101" s="7">
        <v>46121</v>
      </c>
      <c r="B101" s="6" t="s">
        <v>123</v>
      </c>
      <c r="C101" s="6" t="s">
        <v>17</v>
      </c>
      <c r="D101" s="13" t="s">
        <v>302</v>
      </c>
      <c r="E101" s="6" t="s">
        <v>15</v>
      </c>
      <c r="F101" s="6">
        <v>50</v>
      </c>
      <c r="G101" s="6">
        <v>195</v>
      </c>
      <c r="H101" s="6">
        <v>9750</v>
      </c>
    </row>
    <row r="102" spans="1:8">
      <c r="A102" s="7">
        <v>46121</v>
      </c>
      <c r="B102" s="6" t="s">
        <v>126</v>
      </c>
      <c r="C102" s="6" t="s">
        <v>17</v>
      </c>
      <c r="D102" s="13" t="s">
        <v>302</v>
      </c>
      <c r="E102" s="6" t="s">
        <v>15</v>
      </c>
      <c r="F102" s="6">
        <v>50</v>
      </c>
      <c r="G102" s="6">
        <v>197</v>
      </c>
      <c r="H102" s="6">
        <v>9850</v>
      </c>
    </row>
    <row r="103" spans="1:8">
      <c r="A103" s="7">
        <v>46121</v>
      </c>
      <c r="B103" s="6" t="s">
        <v>92</v>
      </c>
      <c r="C103" s="6" t="s">
        <v>17</v>
      </c>
      <c r="D103" s="13" t="s">
        <v>93</v>
      </c>
      <c r="E103" s="6" t="s">
        <v>15</v>
      </c>
      <c r="F103" s="6">
        <v>52</v>
      </c>
      <c r="G103" s="6">
        <v>270</v>
      </c>
      <c r="H103" s="6">
        <v>14040</v>
      </c>
    </row>
    <row r="104" spans="1:8">
      <c r="A104" s="7">
        <v>46121</v>
      </c>
      <c r="B104" s="6" t="s">
        <v>129</v>
      </c>
      <c r="C104" s="6" t="s">
        <v>112</v>
      </c>
      <c r="D104" s="13" t="s">
        <v>130</v>
      </c>
      <c r="E104" s="6" t="s">
        <v>15</v>
      </c>
      <c r="F104" s="6">
        <v>78</v>
      </c>
      <c r="G104" s="6">
        <v>158</v>
      </c>
      <c r="H104" s="6">
        <v>12324</v>
      </c>
    </row>
    <row r="105" spans="1:8">
      <c r="A105" s="7">
        <v>46121</v>
      </c>
      <c r="B105" s="6" t="s">
        <v>231</v>
      </c>
      <c r="C105" s="6" t="s">
        <v>17</v>
      </c>
      <c r="D105" s="13" t="s">
        <v>109</v>
      </c>
      <c r="E105" s="6" t="s">
        <v>62</v>
      </c>
      <c r="F105" s="6">
        <v>100</v>
      </c>
      <c r="G105" s="6">
        <v>400</v>
      </c>
      <c r="H105" s="6">
        <v>40000</v>
      </c>
    </row>
    <row r="106" spans="1:8">
      <c r="A106" s="7">
        <v>46121</v>
      </c>
      <c r="B106" s="6" t="s">
        <v>236</v>
      </c>
      <c r="C106" s="6" t="s">
        <v>17</v>
      </c>
      <c r="D106" s="13" t="s">
        <v>110</v>
      </c>
      <c r="E106" s="6" t="s">
        <v>62</v>
      </c>
      <c r="F106" s="6">
        <v>100</v>
      </c>
      <c r="G106" s="6">
        <v>380</v>
      </c>
      <c r="H106" s="6">
        <v>38000</v>
      </c>
    </row>
    <row r="107" spans="1:8">
      <c r="A107" s="7">
        <v>46121</v>
      </c>
      <c r="B107" s="6" t="s">
        <v>103</v>
      </c>
      <c r="C107" s="6" t="s">
        <v>17</v>
      </c>
      <c r="D107" s="13" t="s">
        <v>104</v>
      </c>
      <c r="E107" s="6" t="s">
        <v>62</v>
      </c>
      <c r="F107" s="6">
        <v>500</v>
      </c>
      <c r="G107" s="6">
        <v>48</v>
      </c>
      <c r="H107" s="6">
        <v>24000</v>
      </c>
    </row>
    <row r="108" spans="1:8">
      <c r="A108" s="7">
        <v>46121</v>
      </c>
      <c r="B108" s="6" t="s">
        <v>103</v>
      </c>
      <c r="C108" s="6" t="s">
        <v>17</v>
      </c>
      <c r="D108" s="13" t="s">
        <v>87</v>
      </c>
      <c r="E108" s="6" t="s">
        <v>62</v>
      </c>
      <c r="F108" s="6">
        <v>20</v>
      </c>
      <c r="G108" s="6">
        <v>645</v>
      </c>
      <c r="H108" s="6">
        <v>12900</v>
      </c>
    </row>
    <row r="109" spans="1:8">
      <c r="A109" s="7">
        <v>46121</v>
      </c>
      <c r="B109" s="6" t="s">
        <v>103</v>
      </c>
      <c r="C109" s="6" t="s">
        <v>17</v>
      </c>
      <c r="D109" s="13" t="s">
        <v>120</v>
      </c>
      <c r="E109" s="6" t="s">
        <v>62</v>
      </c>
      <c r="F109" s="6">
        <v>200</v>
      </c>
      <c r="G109" s="6">
        <v>120</v>
      </c>
      <c r="H109" s="6">
        <v>24000</v>
      </c>
    </row>
    <row r="110" spans="1:8">
      <c r="A110" s="7">
        <v>46121</v>
      </c>
      <c r="B110" s="6" t="s">
        <v>103</v>
      </c>
      <c r="C110" s="6" t="s">
        <v>17</v>
      </c>
      <c r="D110" s="13" t="s">
        <v>326</v>
      </c>
      <c r="E110" s="6" t="s">
        <v>62</v>
      </c>
      <c r="F110" s="6">
        <v>500</v>
      </c>
      <c r="G110" s="6">
        <v>175</v>
      </c>
      <c r="H110" s="6">
        <v>87500</v>
      </c>
    </row>
    <row r="111" spans="1:8">
      <c r="A111" s="7">
        <v>46121</v>
      </c>
      <c r="B111" s="6" t="s">
        <v>103</v>
      </c>
      <c r="C111" s="6" t="s">
        <v>17</v>
      </c>
      <c r="D111" s="13" t="s">
        <v>88</v>
      </c>
      <c r="E111" s="6" t="s">
        <v>62</v>
      </c>
      <c r="F111" s="6">
        <v>500</v>
      </c>
      <c r="G111" s="6">
        <v>259</v>
      </c>
      <c r="H111" s="6">
        <v>129500</v>
      </c>
    </row>
    <row r="112" spans="1:8">
      <c r="A112" s="7">
        <v>46121</v>
      </c>
      <c r="B112" s="6" t="s">
        <v>103</v>
      </c>
      <c r="C112" s="6" t="s">
        <v>17</v>
      </c>
      <c r="D112" s="13" t="s">
        <v>73</v>
      </c>
      <c r="E112" s="6" t="s">
        <v>62</v>
      </c>
      <c r="F112" s="6">
        <v>200</v>
      </c>
      <c r="G112" s="6">
        <v>130</v>
      </c>
      <c r="H112" s="6">
        <v>26000</v>
      </c>
    </row>
    <row r="113" spans="1:8">
      <c r="A113" s="7">
        <v>46122</v>
      </c>
      <c r="B113" s="6" t="s">
        <v>128</v>
      </c>
      <c r="C113" s="6" t="s">
        <v>17</v>
      </c>
      <c r="D113" s="13" t="s">
        <v>81</v>
      </c>
      <c r="E113" s="6" t="s">
        <v>15</v>
      </c>
      <c r="F113" s="6">
        <v>20</v>
      </c>
      <c r="G113" s="6">
        <v>545</v>
      </c>
      <c r="H113" s="6">
        <v>10900</v>
      </c>
    </row>
    <row r="114" spans="1:8">
      <c r="A114" s="7">
        <v>46122</v>
      </c>
      <c r="B114" s="6" t="s">
        <v>26</v>
      </c>
      <c r="C114" s="6" t="s">
        <v>17</v>
      </c>
      <c r="D114" s="13" t="s">
        <v>300</v>
      </c>
      <c r="E114" s="6" t="s">
        <v>15</v>
      </c>
      <c r="F114" s="6">
        <v>26</v>
      </c>
      <c r="G114" s="6">
        <v>180</v>
      </c>
      <c r="H114" s="6">
        <v>4680</v>
      </c>
    </row>
    <row r="115" spans="1:8">
      <c r="A115" s="7">
        <v>46122</v>
      </c>
      <c r="B115" s="6" t="s">
        <v>134</v>
      </c>
      <c r="C115" s="6" t="s">
        <v>17</v>
      </c>
      <c r="D115" s="13" t="s">
        <v>302</v>
      </c>
      <c r="E115" s="6" t="s">
        <v>15</v>
      </c>
      <c r="F115" s="6">
        <v>210</v>
      </c>
      <c r="G115" s="6">
        <v>162</v>
      </c>
      <c r="H115" s="6">
        <v>34020</v>
      </c>
    </row>
    <row r="116" spans="1:8">
      <c r="A116" s="7">
        <v>46122</v>
      </c>
      <c r="B116" s="6" t="s">
        <v>90</v>
      </c>
      <c r="C116" s="6" t="s">
        <v>17</v>
      </c>
      <c r="D116" s="13" t="s">
        <v>302</v>
      </c>
      <c r="E116" s="6" t="s">
        <v>15</v>
      </c>
      <c r="F116" s="6">
        <v>50</v>
      </c>
      <c r="G116" s="6">
        <v>185</v>
      </c>
      <c r="H116" s="6">
        <v>9250</v>
      </c>
    </row>
    <row r="117" spans="1:8">
      <c r="A117" s="7">
        <v>46122</v>
      </c>
      <c r="B117" s="6" t="s">
        <v>135</v>
      </c>
      <c r="C117" s="6" t="s">
        <v>17</v>
      </c>
      <c r="D117" s="13" t="s">
        <v>328</v>
      </c>
      <c r="E117" s="6" t="s">
        <v>15</v>
      </c>
      <c r="F117" s="6">
        <v>210</v>
      </c>
      <c r="G117" s="6">
        <v>235</v>
      </c>
      <c r="H117" s="6">
        <v>49350</v>
      </c>
    </row>
    <row r="118" spans="1:8">
      <c r="A118" s="7">
        <v>46122</v>
      </c>
      <c r="B118" s="6" t="s">
        <v>57</v>
      </c>
      <c r="C118" s="6" t="s">
        <v>17</v>
      </c>
      <c r="D118" s="13" t="s">
        <v>121</v>
      </c>
      <c r="E118" s="6" t="s">
        <v>62</v>
      </c>
      <c r="F118" s="6">
        <v>500</v>
      </c>
      <c r="G118" s="6">
        <v>65</v>
      </c>
      <c r="H118" s="6">
        <v>32500</v>
      </c>
    </row>
    <row r="119" spans="1:8">
      <c r="A119" s="7">
        <v>46122</v>
      </c>
      <c r="B119" s="6" t="s">
        <v>57</v>
      </c>
      <c r="C119" s="6" t="s">
        <v>17</v>
      </c>
      <c r="D119" s="13" t="s">
        <v>101</v>
      </c>
      <c r="E119" s="6" t="s">
        <v>62</v>
      </c>
      <c r="F119" s="6">
        <v>1000</v>
      </c>
      <c r="G119" s="6">
        <v>95</v>
      </c>
      <c r="H119" s="6">
        <v>95000</v>
      </c>
    </row>
    <row r="120" spans="1:8">
      <c r="A120" s="7">
        <v>46122</v>
      </c>
      <c r="B120" s="6" t="s">
        <v>132</v>
      </c>
      <c r="C120" s="6" t="s">
        <v>17</v>
      </c>
      <c r="D120" s="13" t="s">
        <v>66</v>
      </c>
      <c r="E120" s="6" t="s">
        <v>62</v>
      </c>
      <c r="F120" s="6">
        <v>200</v>
      </c>
      <c r="G120" s="6">
        <v>70</v>
      </c>
      <c r="H120" s="6">
        <v>14000</v>
      </c>
    </row>
    <row r="121" spans="1:8">
      <c r="A121" s="7">
        <v>46122</v>
      </c>
      <c r="B121" s="6" t="s">
        <v>57</v>
      </c>
      <c r="C121" s="6" t="s">
        <v>17</v>
      </c>
      <c r="D121" s="13" t="s">
        <v>66</v>
      </c>
      <c r="E121" s="6" t="s">
        <v>62</v>
      </c>
      <c r="F121" s="6">
        <v>500</v>
      </c>
      <c r="G121" s="6">
        <v>60</v>
      </c>
      <c r="H121" s="6">
        <v>30000</v>
      </c>
    </row>
    <row r="122" spans="1:8">
      <c r="A122" s="7">
        <v>46122</v>
      </c>
      <c r="B122" s="6" t="s">
        <v>57</v>
      </c>
      <c r="C122" s="6" t="s">
        <v>17</v>
      </c>
      <c r="D122" s="13" t="s">
        <v>120</v>
      </c>
      <c r="E122" s="6" t="s">
        <v>62</v>
      </c>
      <c r="F122" s="6">
        <v>500</v>
      </c>
      <c r="G122" s="6">
        <v>95</v>
      </c>
      <c r="H122" s="6">
        <v>47500</v>
      </c>
    </row>
    <row r="123" spans="1:8">
      <c r="A123" s="7">
        <v>46122</v>
      </c>
      <c r="B123" s="6" t="s">
        <v>132</v>
      </c>
      <c r="C123" s="6" t="s">
        <v>17</v>
      </c>
      <c r="D123" s="13" t="s">
        <v>88</v>
      </c>
      <c r="E123" s="6" t="s">
        <v>62</v>
      </c>
      <c r="F123" s="6">
        <v>100</v>
      </c>
      <c r="G123" s="6">
        <v>240</v>
      </c>
      <c r="H123" s="6">
        <v>24000</v>
      </c>
    </row>
    <row r="124" spans="1:8">
      <c r="A124" s="7">
        <v>46124</v>
      </c>
      <c r="B124" s="6" t="s">
        <v>136</v>
      </c>
      <c r="C124" s="6" t="s">
        <v>94</v>
      </c>
      <c r="D124" s="13" t="s">
        <v>66</v>
      </c>
      <c r="E124" s="6" t="s">
        <v>62</v>
      </c>
      <c r="F124" s="6">
        <v>300</v>
      </c>
      <c r="G124" s="6">
        <v>55</v>
      </c>
      <c r="H124" s="6">
        <v>16500</v>
      </c>
    </row>
    <row r="125" spans="1:8">
      <c r="A125" s="7">
        <v>46124</v>
      </c>
      <c r="B125" s="6" t="s">
        <v>136</v>
      </c>
      <c r="C125" s="6" t="s">
        <v>94</v>
      </c>
      <c r="D125" s="13" t="s">
        <v>120</v>
      </c>
      <c r="E125" s="6" t="s">
        <v>62</v>
      </c>
      <c r="F125" s="6">
        <v>300</v>
      </c>
      <c r="G125" s="6">
        <v>77</v>
      </c>
      <c r="H125" s="6">
        <v>23100</v>
      </c>
    </row>
    <row r="126" spans="1:8">
      <c r="A126" s="7">
        <v>46124</v>
      </c>
      <c r="B126" s="6" t="s">
        <v>136</v>
      </c>
      <c r="C126" s="6" t="s">
        <v>94</v>
      </c>
      <c r="D126" s="13" t="s">
        <v>88</v>
      </c>
      <c r="E126" s="6" t="s">
        <v>62</v>
      </c>
      <c r="F126" s="6">
        <v>100</v>
      </c>
      <c r="G126" s="6">
        <v>190</v>
      </c>
      <c r="H126" s="6">
        <v>19000</v>
      </c>
    </row>
    <row r="127" spans="1:8">
      <c r="A127" s="7">
        <v>46124</v>
      </c>
      <c r="B127" s="6" t="s">
        <v>136</v>
      </c>
      <c r="C127" s="6" t="s">
        <v>94</v>
      </c>
      <c r="D127" s="13" t="s">
        <v>137</v>
      </c>
      <c r="E127" s="6" t="s">
        <v>62</v>
      </c>
      <c r="F127" s="6">
        <v>100</v>
      </c>
      <c r="G127" s="6">
        <v>150</v>
      </c>
      <c r="H127" s="6">
        <v>15000</v>
      </c>
    </row>
    <row r="128" spans="1:8">
      <c r="A128" s="7">
        <v>46124</v>
      </c>
      <c r="B128" s="6" t="s">
        <v>136</v>
      </c>
      <c r="C128" s="6" t="s">
        <v>94</v>
      </c>
      <c r="D128" s="6" t="s">
        <v>138</v>
      </c>
      <c r="E128" s="6" t="s">
        <v>15</v>
      </c>
      <c r="F128" s="6">
        <v>200</v>
      </c>
      <c r="G128" s="6">
        <v>169</v>
      </c>
      <c r="H128" s="6">
        <v>33800</v>
      </c>
    </row>
    <row r="129" spans="1:8">
      <c r="A129" s="14">
        <v>46124</v>
      </c>
      <c r="B129" s="13" t="s">
        <v>136</v>
      </c>
      <c r="C129" s="13" t="s">
        <v>94</v>
      </c>
      <c r="D129" s="13" t="s">
        <v>138</v>
      </c>
      <c r="E129" s="13" t="s">
        <v>15</v>
      </c>
      <c r="F129" s="13">
        <v>2100</v>
      </c>
      <c r="G129" s="13">
        <v>167</v>
      </c>
      <c r="H129" s="13">
        <v>350700</v>
      </c>
    </row>
    <row r="130" spans="1:8">
      <c r="A130" s="14">
        <v>46124</v>
      </c>
      <c r="B130" s="13" t="s">
        <v>136</v>
      </c>
      <c r="C130" s="13" t="s">
        <v>94</v>
      </c>
      <c r="D130" s="13" t="s">
        <v>32</v>
      </c>
      <c r="E130" s="13" t="s">
        <v>15</v>
      </c>
      <c r="F130" s="13">
        <v>300</v>
      </c>
      <c r="G130" s="13">
        <v>145</v>
      </c>
      <c r="H130" s="13">
        <v>43500</v>
      </c>
    </row>
    <row r="131" spans="1:8">
      <c r="A131" s="14">
        <v>46125</v>
      </c>
      <c r="B131" s="13" t="s">
        <v>283</v>
      </c>
      <c r="C131" s="13" t="s">
        <v>17</v>
      </c>
      <c r="D131" s="13" t="s">
        <v>52</v>
      </c>
      <c r="E131" s="13" t="s">
        <v>15</v>
      </c>
      <c r="F131" s="13">
        <v>210</v>
      </c>
      <c r="G131" s="13">
        <f>+H131/F131</f>
        <v>152.38095238095238</v>
      </c>
      <c r="H131" s="13">
        <v>32000</v>
      </c>
    </row>
    <row r="132" spans="1:8">
      <c r="A132" s="14">
        <v>46125</v>
      </c>
      <c r="B132" s="13" t="s">
        <v>310</v>
      </c>
      <c r="C132" s="13" t="s">
        <v>17</v>
      </c>
      <c r="D132" s="13" t="s">
        <v>177</v>
      </c>
      <c r="E132" s="13" t="s">
        <v>15</v>
      </c>
      <c r="F132" s="13">
        <v>20</v>
      </c>
      <c r="G132" s="13">
        <f>+H132/F132</f>
        <v>177</v>
      </c>
      <c r="H132" s="13">
        <v>3540</v>
      </c>
    </row>
    <row r="133" spans="1:8">
      <c r="A133" s="14">
        <v>46125</v>
      </c>
      <c r="B133" s="13" t="s">
        <v>145</v>
      </c>
      <c r="C133" s="13" t="s">
        <v>17</v>
      </c>
      <c r="D133" s="13" t="s">
        <v>81</v>
      </c>
      <c r="E133" s="13" t="s">
        <v>15</v>
      </c>
      <c r="F133" s="13">
        <v>100</v>
      </c>
      <c r="G133" s="13">
        <v>475</v>
      </c>
      <c r="H133" s="13">
        <v>47500</v>
      </c>
    </row>
    <row r="134" spans="1:8">
      <c r="A134" s="14">
        <v>46125</v>
      </c>
      <c r="B134" s="13" t="s">
        <v>144</v>
      </c>
      <c r="C134" s="13" t="s">
        <v>17</v>
      </c>
      <c r="D134" s="13" t="s">
        <v>300</v>
      </c>
      <c r="E134" s="13" t="s">
        <v>15</v>
      </c>
      <c r="F134" s="13">
        <v>210</v>
      </c>
      <c r="G134" s="13">
        <v>140</v>
      </c>
      <c r="H134" s="13">
        <v>29400</v>
      </c>
    </row>
    <row r="135" spans="1:8">
      <c r="A135" s="14">
        <v>46125</v>
      </c>
      <c r="B135" s="13" t="s">
        <v>28</v>
      </c>
      <c r="C135" s="13" t="s">
        <v>17</v>
      </c>
      <c r="D135" s="13" t="s">
        <v>302</v>
      </c>
      <c r="E135" s="13" t="s">
        <v>15</v>
      </c>
      <c r="F135" s="13">
        <v>50</v>
      </c>
      <c r="G135" s="13">
        <v>186</v>
      </c>
      <c r="H135" s="13">
        <v>9300</v>
      </c>
    </row>
    <row r="136" spans="1:8">
      <c r="A136" s="14">
        <v>46125</v>
      </c>
      <c r="B136" s="13" t="s">
        <v>143</v>
      </c>
      <c r="C136" s="13" t="s">
        <v>17</v>
      </c>
      <c r="D136" s="13" t="s">
        <v>302</v>
      </c>
      <c r="E136" s="13" t="s">
        <v>15</v>
      </c>
      <c r="F136" s="13">
        <v>26</v>
      </c>
      <c r="G136" s="13">
        <v>185</v>
      </c>
      <c r="H136" s="13">
        <v>4810</v>
      </c>
    </row>
    <row r="137" spans="1:8">
      <c r="A137" s="14">
        <v>46125</v>
      </c>
      <c r="B137" s="13" t="s">
        <v>142</v>
      </c>
      <c r="C137" s="13" t="s">
        <v>17</v>
      </c>
      <c r="D137" s="13" t="s">
        <v>302</v>
      </c>
      <c r="E137" s="13" t="s">
        <v>15</v>
      </c>
      <c r="F137" s="13">
        <v>26</v>
      </c>
      <c r="G137" s="13">
        <v>185</v>
      </c>
      <c r="H137" s="13">
        <v>4810</v>
      </c>
    </row>
    <row r="138" spans="1:8">
      <c r="A138" s="14">
        <v>46125</v>
      </c>
      <c r="B138" s="13" t="s">
        <v>141</v>
      </c>
      <c r="C138" s="13" t="s">
        <v>17</v>
      </c>
      <c r="D138" s="13" t="s">
        <v>302</v>
      </c>
      <c r="E138" s="13" t="s">
        <v>15</v>
      </c>
      <c r="F138" s="13">
        <v>26</v>
      </c>
      <c r="G138" s="13">
        <v>190</v>
      </c>
      <c r="H138" s="13">
        <v>4940</v>
      </c>
    </row>
    <row r="139" spans="1:8">
      <c r="A139" s="14">
        <v>46125</v>
      </c>
      <c r="B139" s="13" t="s">
        <v>91</v>
      </c>
      <c r="C139" s="13" t="s">
        <v>17</v>
      </c>
      <c r="D139" s="13" t="s">
        <v>328</v>
      </c>
      <c r="E139" s="13" t="s">
        <v>15</v>
      </c>
      <c r="F139" s="13">
        <v>100</v>
      </c>
      <c r="G139" s="13">
        <v>230</v>
      </c>
      <c r="H139" s="13">
        <v>23000</v>
      </c>
    </row>
    <row r="140" spans="1:8">
      <c r="A140" s="14">
        <v>46125</v>
      </c>
      <c r="B140" s="13" t="s">
        <v>250</v>
      </c>
      <c r="C140" s="13" t="s">
        <v>17</v>
      </c>
      <c r="D140" s="13" t="s">
        <v>148</v>
      </c>
      <c r="E140" s="13" t="s">
        <v>62</v>
      </c>
      <c r="F140" s="13">
        <v>2000</v>
      </c>
      <c r="G140" s="13">
        <v>39.5</v>
      </c>
      <c r="H140" s="13">
        <v>79000</v>
      </c>
    </row>
    <row r="141" spans="1:8">
      <c r="A141" s="14">
        <v>46125</v>
      </c>
      <c r="B141" s="13" t="s">
        <v>250</v>
      </c>
      <c r="C141" s="13" t="s">
        <v>17</v>
      </c>
      <c r="D141" s="13" t="s">
        <v>147</v>
      </c>
      <c r="E141" s="13" t="s">
        <v>62</v>
      </c>
      <c r="F141" s="13">
        <v>100</v>
      </c>
      <c r="G141" s="13">
        <v>85</v>
      </c>
      <c r="H141" s="13">
        <v>8500</v>
      </c>
    </row>
    <row r="142" spans="1:8">
      <c r="A142" s="14">
        <v>46125</v>
      </c>
      <c r="B142" s="13" t="s">
        <v>250</v>
      </c>
      <c r="C142" s="13" t="s">
        <v>17</v>
      </c>
      <c r="D142" s="13" t="s">
        <v>146</v>
      </c>
      <c r="E142" s="13" t="s">
        <v>62</v>
      </c>
      <c r="F142" s="13">
        <v>200</v>
      </c>
      <c r="G142" s="13">
        <v>80</v>
      </c>
      <c r="H142" s="13">
        <v>16000</v>
      </c>
    </row>
    <row r="143" spans="1:8">
      <c r="A143" s="14">
        <v>46125</v>
      </c>
      <c r="B143" s="13" t="s">
        <v>250</v>
      </c>
      <c r="C143" s="13" t="s">
        <v>17</v>
      </c>
      <c r="D143" s="13" t="s">
        <v>245</v>
      </c>
      <c r="E143" s="13" t="s">
        <v>62</v>
      </c>
      <c r="F143" s="13">
        <v>300</v>
      </c>
      <c r="G143" s="13">
        <v>80</v>
      </c>
      <c r="H143" s="13">
        <v>24000</v>
      </c>
    </row>
    <row r="144" spans="1:8">
      <c r="A144" s="14">
        <v>46125</v>
      </c>
      <c r="B144" s="13" t="s">
        <v>57</v>
      </c>
      <c r="C144" s="13" t="s">
        <v>17</v>
      </c>
      <c r="D144" s="13" t="s">
        <v>140</v>
      </c>
      <c r="E144" s="13" t="s">
        <v>62</v>
      </c>
      <c r="F144" s="13">
        <v>50</v>
      </c>
      <c r="G144" s="13">
        <v>95</v>
      </c>
      <c r="H144" s="13">
        <v>4750</v>
      </c>
    </row>
    <row r="145" spans="1:8">
      <c r="A145" s="14">
        <v>46126</v>
      </c>
      <c r="B145" s="13" t="s">
        <v>30</v>
      </c>
      <c r="C145" s="13" t="s">
        <v>17</v>
      </c>
      <c r="D145" s="13" t="s">
        <v>36</v>
      </c>
      <c r="E145" s="13" t="s">
        <v>15</v>
      </c>
      <c r="F145" s="13">
        <v>26</v>
      </c>
      <c r="G145" s="13">
        <v>390</v>
      </c>
      <c r="H145" s="13">
        <v>10140</v>
      </c>
    </row>
    <row r="146" spans="1:8">
      <c r="A146" s="14">
        <v>46126</v>
      </c>
      <c r="B146" s="13" t="s">
        <v>149</v>
      </c>
      <c r="C146" s="13" t="s">
        <v>17</v>
      </c>
      <c r="D146" s="13" t="s">
        <v>81</v>
      </c>
      <c r="E146" s="13" t="s">
        <v>15</v>
      </c>
      <c r="F146" s="13">
        <v>20</v>
      </c>
      <c r="G146" s="13">
        <v>555</v>
      </c>
      <c r="H146" s="13">
        <v>11100</v>
      </c>
    </row>
    <row r="147" spans="1:8">
      <c r="A147" s="14">
        <v>46126</v>
      </c>
      <c r="B147" s="13" t="s">
        <v>150</v>
      </c>
      <c r="C147" s="13" t="s">
        <v>17</v>
      </c>
      <c r="D147" s="13" t="s">
        <v>40</v>
      </c>
      <c r="E147" s="13" t="s">
        <v>15</v>
      </c>
      <c r="F147" s="13">
        <v>78</v>
      </c>
      <c r="G147" s="13">
        <v>135</v>
      </c>
      <c r="H147" s="13">
        <v>10530</v>
      </c>
    </row>
    <row r="148" spans="1:8">
      <c r="A148" s="14">
        <v>46126</v>
      </c>
      <c r="B148" s="13" t="s">
        <v>153</v>
      </c>
      <c r="C148" s="13" t="s">
        <v>17</v>
      </c>
      <c r="D148" s="13" t="s">
        <v>40</v>
      </c>
      <c r="E148" s="13" t="s">
        <v>15</v>
      </c>
      <c r="F148" s="13">
        <v>26</v>
      </c>
      <c r="G148" s="13">
        <v>135</v>
      </c>
      <c r="H148" s="13">
        <v>3510</v>
      </c>
    </row>
    <row r="149" spans="1:8">
      <c r="A149" s="14">
        <v>46126</v>
      </c>
      <c r="B149" s="13" t="s">
        <v>311</v>
      </c>
      <c r="C149" s="13" t="s">
        <v>17</v>
      </c>
      <c r="D149" s="13" t="s">
        <v>300</v>
      </c>
      <c r="E149" s="13" t="s">
        <v>15</v>
      </c>
      <c r="F149" s="13">
        <v>50</v>
      </c>
      <c r="G149" s="13">
        <f>+H149/F149</f>
        <v>136.80000000000001</v>
      </c>
      <c r="H149" s="13">
        <v>6840</v>
      </c>
    </row>
    <row r="150" spans="1:8">
      <c r="A150" s="14">
        <v>46126</v>
      </c>
      <c r="B150" s="13" t="s">
        <v>153</v>
      </c>
      <c r="C150" s="13" t="s">
        <v>17</v>
      </c>
      <c r="D150" s="13" t="s">
        <v>327</v>
      </c>
      <c r="E150" s="13" t="s">
        <v>15</v>
      </c>
      <c r="F150" s="13">
        <v>50</v>
      </c>
      <c r="G150" s="13">
        <v>145</v>
      </c>
      <c r="H150" s="13">
        <v>7250</v>
      </c>
    </row>
    <row r="151" spans="1:8">
      <c r="A151" s="14">
        <v>46126</v>
      </c>
      <c r="B151" s="13" t="s">
        <v>30</v>
      </c>
      <c r="C151" s="13" t="s">
        <v>17</v>
      </c>
      <c r="D151" s="13" t="s">
        <v>302</v>
      </c>
      <c r="E151" s="13" t="s">
        <v>15</v>
      </c>
      <c r="F151" s="13">
        <v>52</v>
      </c>
      <c r="G151" s="13">
        <v>205</v>
      </c>
      <c r="H151" s="13">
        <v>10660</v>
      </c>
    </row>
    <row r="152" spans="1:8">
      <c r="A152" s="14">
        <v>46126</v>
      </c>
      <c r="B152" s="13" t="s">
        <v>151</v>
      </c>
      <c r="C152" s="13" t="s">
        <v>17</v>
      </c>
      <c r="D152" s="13" t="s">
        <v>302</v>
      </c>
      <c r="E152" s="13" t="s">
        <v>15</v>
      </c>
      <c r="F152" s="13">
        <v>26</v>
      </c>
      <c r="G152" s="13">
        <v>205</v>
      </c>
      <c r="H152" s="13">
        <v>5330</v>
      </c>
    </row>
    <row r="153" spans="1:8">
      <c r="A153" s="14">
        <v>46126</v>
      </c>
      <c r="B153" s="13" t="s">
        <v>152</v>
      </c>
      <c r="C153" s="13" t="s">
        <v>17</v>
      </c>
      <c r="D153" s="13" t="s">
        <v>302</v>
      </c>
      <c r="E153" s="13" t="s">
        <v>15</v>
      </c>
      <c r="F153" s="13">
        <v>210</v>
      </c>
      <c r="G153" s="13">
        <v>175</v>
      </c>
      <c r="H153" s="13">
        <v>36750</v>
      </c>
    </row>
    <row r="154" spans="1:8">
      <c r="A154" s="14">
        <v>46126</v>
      </c>
      <c r="B154" s="13" t="s">
        <v>29</v>
      </c>
      <c r="C154" s="13" t="s">
        <v>17</v>
      </c>
      <c r="D154" s="13" t="s">
        <v>328</v>
      </c>
      <c r="E154" s="13" t="s">
        <v>15</v>
      </c>
      <c r="F154" s="13">
        <v>26</v>
      </c>
      <c r="G154" s="13">
        <v>210</v>
      </c>
      <c r="H154" s="13">
        <v>5460</v>
      </c>
    </row>
    <row r="155" spans="1:8">
      <c r="A155" s="14">
        <v>46126</v>
      </c>
      <c r="B155" s="13" t="s">
        <v>239</v>
      </c>
      <c r="C155" s="13" t="s">
        <v>17</v>
      </c>
      <c r="D155" s="13" t="s">
        <v>229</v>
      </c>
      <c r="E155" s="13" t="s">
        <v>62</v>
      </c>
      <c r="F155" s="13">
        <v>500</v>
      </c>
      <c r="G155" s="13">
        <v>70</v>
      </c>
      <c r="H155" s="13">
        <v>35000</v>
      </c>
    </row>
    <row r="156" spans="1:8">
      <c r="A156" s="14">
        <v>46126</v>
      </c>
      <c r="B156" s="13" t="s">
        <v>275</v>
      </c>
      <c r="C156" s="13" t="s">
        <v>17</v>
      </c>
      <c r="D156" s="13" t="s">
        <v>285</v>
      </c>
      <c r="E156" s="13" t="s">
        <v>62</v>
      </c>
      <c r="F156" s="13">
        <v>500</v>
      </c>
      <c r="G156" s="13">
        <v>85</v>
      </c>
      <c r="H156" s="13">
        <v>42500</v>
      </c>
    </row>
    <row r="157" spans="1:8">
      <c r="A157" s="14">
        <v>46127</v>
      </c>
      <c r="B157" s="13" t="s">
        <v>34</v>
      </c>
      <c r="C157" s="13" t="s">
        <v>17</v>
      </c>
      <c r="D157" s="13" t="s">
        <v>300</v>
      </c>
      <c r="E157" s="13" t="s">
        <v>15</v>
      </c>
      <c r="F157" s="13">
        <v>210</v>
      </c>
      <c r="G157" s="13">
        <v>135</v>
      </c>
      <c r="H157" s="13">
        <v>28350</v>
      </c>
    </row>
    <row r="158" spans="1:8">
      <c r="A158" s="14">
        <v>46127</v>
      </c>
      <c r="B158" s="13" t="s">
        <v>33</v>
      </c>
      <c r="C158" s="13" t="s">
        <v>17</v>
      </c>
      <c r="D158" s="13" t="s">
        <v>300</v>
      </c>
      <c r="E158" s="13" t="s">
        <v>15</v>
      </c>
      <c r="F158" s="13">
        <v>52</v>
      </c>
      <c r="G158" s="13">
        <v>150</v>
      </c>
      <c r="H158" s="13">
        <v>7800</v>
      </c>
    </row>
    <row r="159" spans="1:8">
      <c r="A159" s="14">
        <v>46127</v>
      </c>
      <c r="B159" s="13" t="s">
        <v>154</v>
      </c>
      <c r="C159" s="13" t="s">
        <v>17</v>
      </c>
      <c r="D159" s="13" t="s">
        <v>300</v>
      </c>
      <c r="E159" s="13" t="s">
        <v>15</v>
      </c>
      <c r="F159" s="13">
        <v>50</v>
      </c>
      <c r="G159" s="13">
        <v>142</v>
      </c>
      <c r="H159" s="13">
        <v>7100</v>
      </c>
    </row>
    <row r="160" spans="1:8">
      <c r="A160" s="14">
        <v>46127</v>
      </c>
      <c r="B160" s="13" t="s">
        <v>34</v>
      </c>
      <c r="C160" s="13" t="s">
        <v>17</v>
      </c>
      <c r="D160" s="13" t="s">
        <v>302</v>
      </c>
      <c r="E160" s="13" t="s">
        <v>15</v>
      </c>
      <c r="F160" s="13">
        <v>210</v>
      </c>
      <c r="G160" s="13">
        <v>160</v>
      </c>
      <c r="H160" s="13">
        <v>33600</v>
      </c>
    </row>
    <row r="161" spans="1:8">
      <c r="A161" s="14">
        <v>46127</v>
      </c>
      <c r="B161" s="13" t="s">
        <v>31</v>
      </c>
      <c r="C161" s="13" t="s">
        <v>17</v>
      </c>
      <c r="D161" s="13" t="s">
        <v>302</v>
      </c>
      <c r="E161" s="13" t="s">
        <v>15</v>
      </c>
      <c r="F161" s="13">
        <v>26</v>
      </c>
      <c r="G161" s="13">
        <v>205</v>
      </c>
      <c r="H161" s="13">
        <v>5330</v>
      </c>
    </row>
    <row r="162" spans="1:8">
      <c r="A162" s="14">
        <v>46127</v>
      </c>
      <c r="B162" s="13" t="s">
        <v>157</v>
      </c>
      <c r="C162" s="13" t="s">
        <v>17</v>
      </c>
      <c r="D162" s="13" t="s">
        <v>302</v>
      </c>
      <c r="E162" s="13" t="s">
        <v>15</v>
      </c>
      <c r="F162" s="13">
        <v>26</v>
      </c>
      <c r="G162" s="13">
        <v>170</v>
      </c>
      <c r="H162" s="13">
        <v>4420</v>
      </c>
    </row>
    <row r="163" spans="1:8">
      <c r="A163" s="14">
        <v>46127</v>
      </c>
      <c r="B163" s="13" t="s">
        <v>156</v>
      </c>
      <c r="C163" s="13" t="s">
        <v>17</v>
      </c>
      <c r="D163" s="13" t="s">
        <v>329</v>
      </c>
      <c r="E163" s="13" t="s">
        <v>15</v>
      </c>
      <c r="F163" s="13">
        <v>210</v>
      </c>
      <c r="G163" s="13">
        <v>195</v>
      </c>
      <c r="H163" s="13">
        <v>40950</v>
      </c>
    </row>
    <row r="164" spans="1:8">
      <c r="A164" s="7">
        <v>46127</v>
      </c>
      <c r="B164" s="6" t="s">
        <v>50</v>
      </c>
      <c r="C164" s="6" t="s">
        <v>51</v>
      </c>
      <c r="D164" s="6" t="s">
        <v>158</v>
      </c>
      <c r="E164" s="6" t="s">
        <v>62</v>
      </c>
      <c r="F164" s="6">
        <v>18</v>
      </c>
      <c r="G164" s="6">
        <v>910</v>
      </c>
      <c r="H164" s="6">
        <v>16380</v>
      </c>
    </row>
    <row r="165" spans="1:8">
      <c r="A165" s="7">
        <v>46127</v>
      </c>
      <c r="B165" s="6" t="s">
        <v>228</v>
      </c>
      <c r="C165" s="6" t="s">
        <v>17</v>
      </c>
      <c r="D165" s="6" t="s">
        <v>229</v>
      </c>
      <c r="E165" s="6" t="s">
        <v>62</v>
      </c>
      <c r="F165" s="6">
        <v>100</v>
      </c>
      <c r="G165" s="6">
        <v>75</v>
      </c>
      <c r="H165" s="6">
        <v>7500</v>
      </c>
    </row>
    <row r="166" spans="1:8">
      <c r="A166" s="7">
        <v>46127</v>
      </c>
      <c r="B166" s="6" t="s">
        <v>228</v>
      </c>
      <c r="C166" s="6" t="s">
        <v>17</v>
      </c>
      <c r="D166" s="6" t="s">
        <v>108</v>
      </c>
      <c r="E166" s="6" t="s">
        <v>62</v>
      </c>
      <c r="F166" s="6">
        <v>100</v>
      </c>
      <c r="G166" s="6">
        <v>275</v>
      </c>
      <c r="H166" s="6">
        <v>27500</v>
      </c>
    </row>
    <row r="167" spans="1:8">
      <c r="A167" s="7">
        <v>46127</v>
      </c>
      <c r="B167" s="6" t="s">
        <v>77</v>
      </c>
      <c r="C167" s="6" t="s">
        <v>17</v>
      </c>
      <c r="D167" s="6" t="s">
        <v>146</v>
      </c>
      <c r="E167" s="6" t="s">
        <v>62</v>
      </c>
      <c r="F167" s="6">
        <v>100</v>
      </c>
      <c r="G167" s="6">
        <v>140</v>
      </c>
      <c r="H167" s="6">
        <v>14000</v>
      </c>
    </row>
    <row r="168" spans="1:8">
      <c r="A168" s="7">
        <v>46127</v>
      </c>
      <c r="B168" s="6" t="s">
        <v>77</v>
      </c>
      <c r="C168" s="6" t="s">
        <v>17</v>
      </c>
      <c r="D168" s="18" t="s">
        <v>78</v>
      </c>
      <c r="E168" s="6" t="s">
        <v>62</v>
      </c>
      <c r="F168" s="6">
        <v>100</v>
      </c>
      <c r="G168" s="6">
        <v>140</v>
      </c>
      <c r="H168" s="6">
        <v>14000</v>
      </c>
    </row>
    <row r="169" spans="1:8">
      <c r="A169" s="7">
        <v>46127</v>
      </c>
      <c r="B169" s="6" t="s">
        <v>77</v>
      </c>
      <c r="C169" s="6" t="s">
        <v>17</v>
      </c>
      <c r="D169" s="6" t="s">
        <v>73</v>
      </c>
      <c r="E169" s="6" t="s">
        <v>62</v>
      </c>
      <c r="F169" s="6">
        <v>50</v>
      </c>
      <c r="G169" s="6">
        <v>140</v>
      </c>
      <c r="H169" s="6">
        <v>7000</v>
      </c>
    </row>
    <row r="170" spans="1:8">
      <c r="A170" s="7">
        <v>46128</v>
      </c>
      <c r="B170" s="6" t="s">
        <v>159</v>
      </c>
      <c r="C170" s="6" t="s">
        <v>17</v>
      </c>
      <c r="D170" s="6" t="s">
        <v>327</v>
      </c>
      <c r="E170" s="6" t="s">
        <v>15</v>
      </c>
      <c r="F170" s="6">
        <v>50</v>
      </c>
      <c r="G170" s="6">
        <v>140</v>
      </c>
      <c r="H170" s="6">
        <v>7000</v>
      </c>
    </row>
    <row r="171" spans="1:8">
      <c r="A171" s="14">
        <v>46128</v>
      </c>
      <c r="B171" s="13" t="s">
        <v>106</v>
      </c>
      <c r="C171" s="13" t="s">
        <v>17</v>
      </c>
      <c r="D171" s="13" t="s">
        <v>302</v>
      </c>
      <c r="E171" s="13" t="s">
        <v>15</v>
      </c>
      <c r="F171" s="13">
        <v>100</v>
      </c>
      <c r="G171" s="13">
        <v>180</v>
      </c>
      <c r="H171" s="13">
        <v>18000</v>
      </c>
    </row>
    <row r="172" spans="1:8">
      <c r="A172" s="14">
        <v>46128</v>
      </c>
      <c r="B172" s="13" t="s">
        <v>254</v>
      </c>
      <c r="C172" s="13" t="s">
        <v>17</v>
      </c>
      <c r="D172" s="13" t="s">
        <v>229</v>
      </c>
      <c r="E172" s="13" t="s">
        <v>62</v>
      </c>
      <c r="F172" s="13">
        <v>500</v>
      </c>
      <c r="G172" s="13">
        <v>65</v>
      </c>
      <c r="H172" s="13">
        <v>32500</v>
      </c>
    </row>
    <row r="173" spans="1:8">
      <c r="A173" s="14">
        <v>46128</v>
      </c>
      <c r="B173" s="13" t="s">
        <v>241</v>
      </c>
      <c r="C173" s="13" t="s">
        <v>17</v>
      </c>
      <c r="D173" s="13" t="s">
        <v>237</v>
      </c>
      <c r="E173" s="13" t="s">
        <v>62</v>
      </c>
      <c r="F173" s="13">
        <v>100</v>
      </c>
      <c r="G173" s="13">
        <v>195</v>
      </c>
      <c r="H173" s="13">
        <v>19500</v>
      </c>
    </row>
    <row r="174" spans="1:8">
      <c r="A174" s="14">
        <v>46129</v>
      </c>
      <c r="B174" s="13" t="s">
        <v>116</v>
      </c>
      <c r="C174" s="13" t="s">
        <v>17</v>
      </c>
      <c r="D174" s="13" t="s">
        <v>162</v>
      </c>
      <c r="E174" s="13" t="s">
        <v>15</v>
      </c>
      <c r="F174" s="13">
        <v>26</v>
      </c>
      <c r="G174" s="13">
        <v>175</v>
      </c>
      <c r="H174" s="13">
        <v>4550</v>
      </c>
    </row>
    <row r="175" spans="1:8">
      <c r="A175" s="14">
        <v>46129</v>
      </c>
      <c r="B175" s="13" t="s">
        <v>160</v>
      </c>
      <c r="C175" s="13" t="s">
        <v>17</v>
      </c>
      <c r="D175" s="13" t="s">
        <v>302</v>
      </c>
      <c r="E175" s="13" t="s">
        <v>15</v>
      </c>
      <c r="F175" s="13">
        <v>26</v>
      </c>
      <c r="G175" s="13">
        <v>199</v>
      </c>
      <c r="H175" s="13">
        <v>5174</v>
      </c>
    </row>
    <row r="176" spans="1:8">
      <c r="A176" s="14">
        <v>46129</v>
      </c>
      <c r="B176" s="13" t="s">
        <v>163</v>
      </c>
      <c r="C176" s="13" t="s">
        <v>17</v>
      </c>
      <c r="D176" s="13" t="s">
        <v>302</v>
      </c>
      <c r="E176" s="13" t="s">
        <v>15</v>
      </c>
      <c r="F176" s="13">
        <v>210</v>
      </c>
      <c r="G176" s="13">
        <v>200</v>
      </c>
      <c r="H176" s="13">
        <v>42000</v>
      </c>
    </row>
    <row r="177" spans="1:8">
      <c r="A177" s="14">
        <v>46129</v>
      </c>
      <c r="B177" s="13" t="s">
        <v>161</v>
      </c>
      <c r="C177" s="13" t="s">
        <v>17</v>
      </c>
      <c r="D177" s="13" t="s">
        <v>302</v>
      </c>
      <c r="E177" s="13" t="s">
        <v>15</v>
      </c>
      <c r="F177" s="13">
        <v>200</v>
      </c>
      <c r="G177" s="13">
        <v>195</v>
      </c>
      <c r="H177" s="13">
        <v>39000</v>
      </c>
    </row>
    <row r="178" spans="1:8">
      <c r="A178" s="14">
        <v>46129</v>
      </c>
      <c r="B178" s="13" t="s">
        <v>167</v>
      </c>
      <c r="C178" s="13" t="s">
        <v>17</v>
      </c>
      <c r="D178" s="13" t="s">
        <v>302</v>
      </c>
      <c r="E178" s="13" t="s">
        <v>15</v>
      </c>
      <c r="F178" s="13">
        <v>26</v>
      </c>
      <c r="G178" s="13">
        <v>190</v>
      </c>
      <c r="H178" s="13">
        <v>4940</v>
      </c>
    </row>
    <row r="179" spans="1:8">
      <c r="A179" s="14">
        <v>46129</v>
      </c>
      <c r="B179" s="13" t="s">
        <v>166</v>
      </c>
      <c r="C179" s="13" t="s">
        <v>17</v>
      </c>
      <c r="D179" s="13" t="s">
        <v>302</v>
      </c>
      <c r="E179" s="13" t="s">
        <v>15</v>
      </c>
      <c r="F179" s="13">
        <v>26</v>
      </c>
      <c r="G179" s="13">
        <v>180</v>
      </c>
      <c r="H179" s="13">
        <v>4680</v>
      </c>
    </row>
    <row r="180" spans="1:8">
      <c r="A180" s="14">
        <v>46129</v>
      </c>
      <c r="B180" s="13" t="s">
        <v>103</v>
      </c>
      <c r="C180" s="13" t="s">
        <v>17</v>
      </c>
      <c r="D180" s="13" t="s">
        <v>165</v>
      </c>
      <c r="E180" s="13" t="s">
        <v>62</v>
      </c>
      <c r="F180" s="13">
        <v>150</v>
      </c>
      <c r="G180" s="13">
        <v>205</v>
      </c>
      <c r="H180" s="13">
        <v>30750</v>
      </c>
    </row>
    <row r="181" spans="1:8">
      <c r="A181" s="14">
        <v>46129</v>
      </c>
      <c r="B181" s="13" t="s">
        <v>103</v>
      </c>
      <c r="C181" s="13" t="s">
        <v>17</v>
      </c>
      <c r="D181" s="13" t="s">
        <v>165</v>
      </c>
      <c r="E181" s="13" t="s">
        <v>62</v>
      </c>
      <c r="F181" s="13">
        <v>50</v>
      </c>
      <c r="G181" s="13">
        <v>105</v>
      </c>
      <c r="H181" s="13">
        <v>5250</v>
      </c>
    </row>
    <row r="182" spans="1:8">
      <c r="A182" s="14">
        <v>46129</v>
      </c>
      <c r="B182" s="13" t="s">
        <v>103</v>
      </c>
      <c r="C182" s="13" t="s">
        <v>17</v>
      </c>
      <c r="D182" s="13" t="s">
        <v>88</v>
      </c>
      <c r="E182" s="13" t="s">
        <v>62</v>
      </c>
      <c r="F182" s="13">
        <v>500</v>
      </c>
      <c r="G182" s="13">
        <v>285</v>
      </c>
      <c r="H182" s="13">
        <v>142500</v>
      </c>
    </row>
    <row r="183" spans="1:8">
      <c r="A183" s="14">
        <v>46130</v>
      </c>
      <c r="B183" s="13" t="s">
        <v>174</v>
      </c>
      <c r="C183" s="13" t="s">
        <v>17</v>
      </c>
      <c r="D183" s="13" t="s">
        <v>300</v>
      </c>
      <c r="E183" s="13" t="s">
        <v>15</v>
      </c>
      <c r="F183" s="13">
        <v>50</v>
      </c>
      <c r="G183" s="13">
        <v>140</v>
      </c>
      <c r="H183" s="13">
        <v>7000</v>
      </c>
    </row>
    <row r="184" spans="1:8">
      <c r="A184" s="14">
        <v>46130</v>
      </c>
      <c r="B184" s="13" t="s">
        <v>288</v>
      </c>
      <c r="C184" s="13" t="s">
        <v>17</v>
      </c>
      <c r="D184" s="13" t="s">
        <v>324</v>
      </c>
      <c r="E184" s="13" t="s">
        <v>15</v>
      </c>
      <c r="F184" s="13">
        <v>26</v>
      </c>
      <c r="G184" s="13">
        <v>190</v>
      </c>
      <c r="H184" s="13">
        <v>4940</v>
      </c>
    </row>
    <row r="185" spans="1:8">
      <c r="A185" s="14">
        <v>46130</v>
      </c>
      <c r="B185" s="13" t="s">
        <v>170</v>
      </c>
      <c r="C185" s="13" t="s">
        <v>17</v>
      </c>
      <c r="D185" s="13" t="s">
        <v>302</v>
      </c>
      <c r="E185" s="13" t="s">
        <v>15</v>
      </c>
      <c r="F185" s="13">
        <v>50</v>
      </c>
      <c r="G185" s="13">
        <v>220</v>
      </c>
      <c r="H185" s="13">
        <v>11000</v>
      </c>
    </row>
    <row r="186" spans="1:8">
      <c r="A186" s="14">
        <v>46130</v>
      </c>
      <c r="B186" s="13" t="s">
        <v>171</v>
      </c>
      <c r="C186" s="13" t="s">
        <v>17</v>
      </c>
      <c r="D186" s="13" t="s">
        <v>302</v>
      </c>
      <c r="E186" s="13" t="s">
        <v>15</v>
      </c>
      <c r="F186" s="13">
        <v>52</v>
      </c>
      <c r="G186" s="13">
        <v>175</v>
      </c>
      <c r="H186" s="13">
        <v>9100</v>
      </c>
    </row>
    <row r="187" spans="1:8">
      <c r="A187" s="14">
        <v>46130</v>
      </c>
      <c r="B187" s="13" t="s">
        <v>92</v>
      </c>
      <c r="C187" s="13" t="s">
        <v>17</v>
      </c>
      <c r="D187" s="13" t="s">
        <v>175</v>
      </c>
      <c r="E187" s="13" t="s">
        <v>15</v>
      </c>
      <c r="F187" s="13">
        <v>50</v>
      </c>
      <c r="G187" s="13">
        <v>270</v>
      </c>
      <c r="H187" s="13">
        <v>13500</v>
      </c>
    </row>
    <row r="188" spans="1:8">
      <c r="A188" s="14">
        <v>46130</v>
      </c>
      <c r="B188" s="13" t="s">
        <v>258</v>
      </c>
      <c r="C188" s="13" t="s">
        <v>17</v>
      </c>
      <c r="D188" s="13" t="s">
        <v>229</v>
      </c>
      <c r="E188" s="13" t="s">
        <v>62</v>
      </c>
      <c r="F188" s="13">
        <v>500</v>
      </c>
      <c r="G188" s="13">
        <v>50</v>
      </c>
      <c r="H188" s="13">
        <v>25000</v>
      </c>
    </row>
    <row r="189" spans="1:8">
      <c r="A189" s="14">
        <v>46130</v>
      </c>
      <c r="B189" s="13" t="s">
        <v>239</v>
      </c>
      <c r="C189" s="13" t="s">
        <v>17</v>
      </c>
      <c r="D189" s="13" t="s">
        <v>229</v>
      </c>
      <c r="E189" s="13" t="s">
        <v>62</v>
      </c>
      <c r="F189" s="13">
        <v>500</v>
      </c>
      <c r="G189" s="13">
        <v>76</v>
      </c>
      <c r="H189" s="13">
        <v>38000</v>
      </c>
    </row>
    <row r="190" spans="1:8">
      <c r="A190" s="14">
        <v>46130</v>
      </c>
      <c r="B190" s="13" t="s">
        <v>258</v>
      </c>
      <c r="C190" s="13" t="s">
        <v>17</v>
      </c>
      <c r="D190" s="13" t="s">
        <v>259</v>
      </c>
      <c r="E190" s="13" t="s">
        <v>62</v>
      </c>
      <c r="F190" s="13">
        <v>500</v>
      </c>
      <c r="G190" s="13">
        <v>80</v>
      </c>
      <c r="H190" s="13">
        <v>40000</v>
      </c>
    </row>
    <row r="191" spans="1:8">
      <c r="A191" s="14">
        <v>46130</v>
      </c>
      <c r="B191" s="13" t="s">
        <v>258</v>
      </c>
      <c r="C191" s="13" t="s">
        <v>17</v>
      </c>
      <c r="D191" s="13" t="s">
        <v>146</v>
      </c>
      <c r="E191" s="13" t="s">
        <v>62</v>
      </c>
      <c r="F191" s="13">
        <v>1000</v>
      </c>
      <c r="G191" s="13">
        <v>80</v>
      </c>
      <c r="H191" s="13">
        <v>80000</v>
      </c>
    </row>
    <row r="192" spans="1:8">
      <c r="A192" s="14">
        <v>46130</v>
      </c>
      <c r="B192" s="13" t="s">
        <v>258</v>
      </c>
      <c r="C192" s="13" t="s">
        <v>17</v>
      </c>
      <c r="D192" s="13" t="s">
        <v>245</v>
      </c>
      <c r="E192" s="13" t="s">
        <v>62</v>
      </c>
      <c r="F192" s="13">
        <v>500</v>
      </c>
      <c r="G192" s="13">
        <v>81</v>
      </c>
      <c r="H192" s="13">
        <v>40500</v>
      </c>
    </row>
    <row r="193" spans="1:8">
      <c r="A193" s="14">
        <v>46130</v>
      </c>
      <c r="B193" s="13" t="s">
        <v>250</v>
      </c>
      <c r="C193" s="13" t="s">
        <v>17</v>
      </c>
      <c r="D193" s="13" t="s">
        <v>108</v>
      </c>
      <c r="E193" s="13" t="s">
        <v>62</v>
      </c>
      <c r="F193" s="13">
        <v>100</v>
      </c>
      <c r="G193" s="13">
        <v>288</v>
      </c>
      <c r="H193" s="13">
        <v>28800</v>
      </c>
    </row>
    <row r="194" spans="1:8">
      <c r="A194" s="14">
        <v>46130</v>
      </c>
      <c r="B194" s="13" t="s">
        <v>169</v>
      </c>
      <c r="C194" s="13" t="s">
        <v>17</v>
      </c>
      <c r="D194" s="13" t="s">
        <v>61</v>
      </c>
      <c r="E194" s="13" t="s">
        <v>62</v>
      </c>
      <c r="F194" s="13">
        <v>500</v>
      </c>
      <c r="G194" s="13">
        <v>175</v>
      </c>
      <c r="H194" s="13">
        <v>87500</v>
      </c>
    </row>
    <row r="195" spans="1:8">
      <c r="A195" s="14">
        <v>46130</v>
      </c>
      <c r="B195" s="13" t="s">
        <v>275</v>
      </c>
      <c r="C195" s="13" t="s">
        <v>17</v>
      </c>
      <c r="D195" s="13" t="s">
        <v>290</v>
      </c>
      <c r="E195" s="13" t="s">
        <v>62</v>
      </c>
      <c r="F195" s="13">
        <v>50</v>
      </c>
      <c r="G195" s="13">
        <v>205</v>
      </c>
      <c r="H195" s="13">
        <v>10250</v>
      </c>
    </row>
    <row r="196" spans="1:8">
      <c r="A196" s="14">
        <v>46130</v>
      </c>
      <c r="B196" s="13" t="s">
        <v>275</v>
      </c>
      <c r="C196" s="13" t="s">
        <v>17</v>
      </c>
      <c r="D196" s="13" t="s">
        <v>290</v>
      </c>
      <c r="E196" s="13" t="s">
        <v>62</v>
      </c>
      <c r="F196" s="13">
        <v>100</v>
      </c>
      <c r="G196" s="13">
        <v>205</v>
      </c>
      <c r="H196" s="13">
        <v>20500</v>
      </c>
    </row>
    <row r="197" spans="1:8">
      <c r="A197" s="14">
        <v>46130</v>
      </c>
      <c r="B197" s="13" t="s">
        <v>132</v>
      </c>
      <c r="C197" s="13" t="s">
        <v>17</v>
      </c>
      <c r="D197" s="13" t="s">
        <v>66</v>
      </c>
      <c r="E197" s="13" t="s">
        <v>62</v>
      </c>
      <c r="F197" s="13">
        <v>50</v>
      </c>
      <c r="G197" s="13">
        <v>76</v>
      </c>
      <c r="H197" s="13">
        <v>3800</v>
      </c>
    </row>
    <row r="198" spans="1:8">
      <c r="A198" s="14">
        <v>46130</v>
      </c>
      <c r="B198" s="13" t="s">
        <v>57</v>
      </c>
      <c r="C198" s="13" t="s">
        <v>17</v>
      </c>
      <c r="D198" s="13" t="s">
        <v>173</v>
      </c>
      <c r="E198" s="13" t="s">
        <v>62</v>
      </c>
      <c r="F198" s="13">
        <v>400</v>
      </c>
      <c r="G198" s="13">
        <v>95</v>
      </c>
      <c r="H198" s="13">
        <v>38000</v>
      </c>
    </row>
    <row r="199" spans="1:8">
      <c r="A199" s="14">
        <v>46132</v>
      </c>
      <c r="B199" s="13" t="s">
        <v>180</v>
      </c>
      <c r="C199" s="13" t="s">
        <v>17</v>
      </c>
      <c r="D199" s="13" t="s">
        <v>36</v>
      </c>
      <c r="E199" s="13" t="s">
        <v>15</v>
      </c>
      <c r="F199" s="13">
        <v>4</v>
      </c>
      <c r="G199" s="13">
        <v>370</v>
      </c>
      <c r="H199" s="13">
        <v>1480</v>
      </c>
    </row>
    <row r="200" spans="1:8">
      <c r="A200" s="14">
        <v>46132</v>
      </c>
      <c r="B200" s="13" t="s">
        <v>29</v>
      </c>
      <c r="C200" s="13" t="s">
        <v>17</v>
      </c>
      <c r="D200" s="13" t="s">
        <v>36</v>
      </c>
      <c r="E200" s="13" t="s">
        <v>15</v>
      </c>
      <c r="F200" s="13">
        <v>26</v>
      </c>
      <c r="G200" s="13">
        <v>405</v>
      </c>
      <c r="H200" s="13">
        <v>10530</v>
      </c>
    </row>
    <row r="201" spans="1:8">
      <c r="A201" s="14">
        <v>46132</v>
      </c>
      <c r="B201" s="13" t="s">
        <v>169</v>
      </c>
      <c r="C201" s="13" t="s">
        <v>17</v>
      </c>
      <c r="D201" s="13" t="s">
        <v>58</v>
      </c>
      <c r="E201" s="13" t="s">
        <v>15</v>
      </c>
      <c r="F201" s="13">
        <v>100</v>
      </c>
      <c r="G201" s="13">
        <v>525</v>
      </c>
      <c r="H201" s="13">
        <v>52500</v>
      </c>
    </row>
    <row r="202" spans="1:8">
      <c r="A202" s="14">
        <v>46132</v>
      </c>
      <c r="B202" s="13" t="s">
        <v>167</v>
      </c>
      <c r="C202" s="13" t="s">
        <v>17</v>
      </c>
      <c r="D202" s="13" t="s">
        <v>327</v>
      </c>
      <c r="E202" s="13" t="s">
        <v>15</v>
      </c>
      <c r="F202" s="13">
        <v>26</v>
      </c>
      <c r="G202" s="13">
        <v>140</v>
      </c>
      <c r="H202" s="13">
        <v>3640</v>
      </c>
    </row>
    <row r="203" spans="1:8">
      <c r="A203" s="14">
        <v>46132</v>
      </c>
      <c r="B203" s="13" t="s">
        <v>312</v>
      </c>
      <c r="C203" s="13" t="s">
        <v>17</v>
      </c>
      <c r="D203" s="13" t="s">
        <v>324</v>
      </c>
      <c r="E203" s="13" t="s">
        <v>15</v>
      </c>
      <c r="F203" s="13">
        <v>26</v>
      </c>
      <c r="G203" s="13">
        <v>180.9</v>
      </c>
      <c r="H203" s="13">
        <v>4703.3999999999996</v>
      </c>
    </row>
    <row r="204" spans="1:8">
      <c r="A204" s="14">
        <v>46132</v>
      </c>
      <c r="B204" s="13" t="s">
        <v>180</v>
      </c>
      <c r="C204" s="13" t="s">
        <v>17</v>
      </c>
      <c r="D204" s="13" t="s">
        <v>302</v>
      </c>
      <c r="E204" s="13" t="s">
        <v>15</v>
      </c>
      <c r="F204" s="13">
        <v>210</v>
      </c>
      <c r="G204" s="13">
        <v>180</v>
      </c>
      <c r="H204" s="13">
        <v>37800</v>
      </c>
    </row>
    <row r="205" spans="1:8">
      <c r="A205" s="14">
        <v>46132</v>
      </c>
      <c r="B205" s="13" t="s">
        <v>29</v>
      </c>
      <c r="C205" s="13" t="s">
        <v>17</v>
      </c>
      <c r="D205" s="13" t="s">
        <v>328</v>
      </c>
      <c r="E205" s="13" t="s">
        <v>15</v>
      </c>
      <c r="F205" s="13">
        <v>26</v>
      </c>
      <c r="G205" s="13">
        <v>210</v>
      </c>
      <c r="H205" s="13">
        <v>5460</v>
      </c>
    </row>
    <row r="206" spans="1:8">
      <c r="A206" s="14">
        <v>46132</v>
      </c>
      <c r="B206" s="13" t="s">
        <v>29</v>
      </c>
      <c r="C206" s="13" t="s">
        <v>17</v>
      </c>
      <c r="D206" s="13" t="s">
        <v>35</v>
      </c>
      <c r="E206" s="13" t="s">
        <v>15</v>
      </c>
      <c r="F206" s="13">
        <v>26</v>
      </c>
      <c r="G206" s="13">
        <v>230</v>
      </c>
      <c r="H206" s="13">
        <v>5980</v>
      </c>
    </row>
    <row r="207" spans="1:8">
      <c r="A207" s="14">
        <v>46132</v>
      </c>
      <c r="B207" s="13" t="s">
        <v>132</v>
      </c>
      <c r="C207" s="13" t="s">
        <v>17</v>
      </c>
      <c r="D207" s="13" t="s">
        <v>66</v>
      </c>
      <c r="E207" s="13" t="s">
        <v>62</v>
      </c>
      <c r="F207" s="13">
        <v>300</v>
      </c>
      <c r="G207" s="13">
        <v>76</v>
      </c>
      <c r="H207" s="13">
        <v>22800</v>
      </c>
    </row>
    <row r="208" spans="1:8">
      <c r="A208" s="14">
        <v>46132</v>
      </c>
      <c r="B208" s="13" t="s">
        <v>60</v>
      </c>
      <c r="C208" s="13" t="s">
        <v>17</v>
      </c>
      <c r="D208" s="13" t="s">
        <v>63</v>
      </c>
      <c r="E208" s="13" t="s">
        <v>62</v>
      </c>
      <c r="F208" s="13">
        <v>800</v>
      </c>
      <c r="G208" s="13">
        <v>42</v>
      </c>
      <c r="H208" s="13">
        <v>33600</v>
      </c>
    </row>
    <row r="209" spans="1:8">
      <c r="A209" s="14">
        <v>46132</v>
      </c>
      <c r="B209" s="13" t="s">
        <v>275</v>
      </c>
      <c r="C209" s="13" t="s">
        <v>17</v>
      </c>
      <c r="D209" s="13" t="s">
        <v>204</v>
      </c>
      <c r="E209" s="13" t="s">
        <v>62</v>
      </c>
      <c r="F209" s="13">
        <v>200</v>
      </c>
      <c r="G209" s="13">
        <v>95</v>
      </c>
      <c r="H209" s="13">
        <v>19000</v>
      </c>
    </row>
    <row r="210" spans="1:8">
      <c r="A210" s="14">
        <v>46133</v>
      </c>
      <c r="B210" s="13" t="s">
        <v>187</v>
      </c>
      <c r="C210" s="13" t="s">
        <v>17</v>
      </c>
      <c r="D210" s="13" t="s">
        <v>20</v>
      </c>
      <c r="E210" s="13" t="s">
        <v>27</v>
      </c>
      <c r="F210" s="13">
        <v>210</v>
      </c>
      <c r="G210" s="13">
        <v>103</v>
      </c>
      <c r="H210" s="13">
        <v>21630</v>
      </c>
    </row>
    <row r="211" spans="1:8">
      <c r="A211" s="14">
        <v>46133</v>
      </c>
      <c r="B211" s="13" t="s">
        <v>188</v>
      </c>
      <c r="C211" s="13" t="s">
        <v>17</v>
      </c>
      <c r="D211" s="13" t="s">
        <v>20</v>
      </c>
      <c r="E211" s="13" t="s">
        <v>27</v>
      </c>
      <c r="F211" s="13">
        <v>60</v>
      </c>
      <c r="G211" s="13">
        <v>130</v>
      </c>
      <c r="H211" s="13">
        <v>7800</v>
      </c>
    </row>
    <row r="212" spans="1:8">
      <c r="A212" s="14">
        <v>46133</v>
      </c>
      <c r="B212" s="13" t="s">
        <v>183</v>
      </c>
      <c r="C212" s="13" t="s">
        <v>17</v>
      </c>
      <c r="D212" s="13" t="s">
        <v>52</v>
      </c>
      <c r="E212" s="13" t="s">
        <v>15</v>
      </c>
      <c r="F212" s="13">
        <v>5</v>
      </c>
      <c r="G212" s="13">
        <v>170</v>
      </c>
      <c r="H212" s="13">
        <v>850</v>
      </c>
    </row>
    <row r="213" spans="1:8">
      <c r="A213" s="14">
        <v>46133</v>
      </c>
      <c r="B213" s="13" t="s">
        <v>186</v>
      </c>
      <c r="C213" s="13" t="s">
        <v>17</v>
      </c>
      <c r="D213" s="13" t="s">
        <v>40</v>
      </c>
      <c r="E213" s="13" t="s">
        <v>15</v>
      </c>
      <c r="F213" s="13">
        <v>50</v>
      </c>
      <c r="G213" s="13">
        <v>140</v>
      </c>
      <c r="H213" s="13">
        <v>7000</v>
      </c>
    </row>
    <row r="214" spans="1:8">
      <c r="A214" s="14">
        <v>46133</v>
      </c>
      <c r="B214" s="13" t="s">
        <v>37</v>
      </c>
      <c r="C214" s="13" t="s">
        <v>17</v>
      </c>
      <c r="D214" s="13" t="s">
        <v>300</v>
      </c>
      <c r="E214" s="13" t="s">
        <v>15</v>
      </c>
      <c r="F214" s="13">
        <v>210</v>
      </c>
      <c r="G214" s="13">
        <v>140</v>
      </c>
      <c r="H214" s="13">
        <v>29400</v>
      </c>
    </row>
    <row r="215" spans="1:8">
      <c r="A215" s="14">
        <v>46133</v>
      </c>
      <c r="B215" s="13" t="s">
        <v>182</v>
      </c>
      <c r="C215" s="13" t="s">
        <v>17</v>
      </c>
      <c r="D215" s="13" t="s">
        <v>302</v>
      </c>
      <c r="E215" s="13" t="s">
        <v>15</v>
      </c>
      <c r="F215" s="13">
        <v>210</v>
      </c>
      <c r="G215" s="13">
        <v>180</v>
      </c>
      <c r="H215" s="13">
        <v>37800</v>
      </c>
    </row>
    <row r="216" spans="1:8">
      <c r="A216" s="14">
        <v>46133</v>
      </c>
      <c r="B216" s="13" t="s">
        <v>106</v>
      </c>
      <c r="C216" s="13" t="s">
        <v>17</v>
      </c>
      <c r="D216" s="13" t="s">
        <v>302</v>
      </c>
      <c r="E216" s="13" t="s">
        <v>15</v>
      </c>
      <c r="F216" s="13">
        <v>26</v>
      </c>
      <c r="G216" s="13">
        <v>180</v>
      </c>
      <c r="H216" s="13">
        <v>4680</v>
      </c>
    </row>
    <row r="217" spans="1:8">
      <c r="A217" s="14">
        <v>46133</v>
      </c>
      <c r="B217" s="13" t="s">
        <v>181</v>
      </c>
      <c r="C217" s="13" t="s">
        <v>17</v>
      </c>
      <c r="D217" s="13" t="s">
        <v>302</v>
      </c>
      <c r="E217" s="13" t="s">
        <v>15</v>
      </c>
      <c r="F217" s="13">
        <v>50</v>
      </c>
      <c r="G217" s="13">
        <v>195</v>
      </c>
      <c r="H217" s="13">
        <v>9750</v>
      </c>
    </row>
    <row r="218" spans="1:8">
      <c r="A218" s="14">
        <v>46133</v>
      </c>
      <c r="B218" s="13" t="s">
        <v>105</v>
      </c>
      <c r="C218" s="13" t="s">
        <v>17</v>
      </c>
      <c r="D218" s="13" t="s">
        <v>302</v>
      </c>
      <c r="E218" s="13" t="s">
        <v>15</v>
      </c>
      <c r="F218" s="13">
        <v>52</v>
      </c>
      <c r="G218" s="13">
        <v>180</v>
      </c>
      <c r="H218" s="13">
        <v>9360</v>
      </c>
    </row>
    <row r="219" spans="1:8">
      <c r="A219" s="14">
        <v>46133</v>
      </c>
      <c r="B219" s="13" t="s">
        <v>184</v>
      </c>
      <c r="C219" s="13" t="s">
        <v>17</v>
      </c>
      <c r="D219" s="13" t="s">
        <v>185</v>
      </c>
      <c r="E219" s="13" t="s">
        <v>27</v>
      </c>
      <c r="F219" s="13">
        <v>18</v>
      </c>
      <c r="G219" s="13">
        <v>1015</v>
      </c>
      <c r="H219" s="13">
        <v>18270</v>
      </c>
    </row>
    <row r="220" spans="1:8">
      <c r="A220" s="14">
        <v>46133</v>
      </c>
      <c r="B220" s="13" t="s">
        <v>241</v>
      </c>
      <c r="C220" s="13" t="s">
        <v>17</v>
      </c>
      <c r="D220" s="13" t="s">
        <v>262</v>
      </c>
      <c r="E220" s="13" t="s">
        <v>62</v>
      </c>
      <c r="F220" s="13">
        <v>1000</v>
      </c>
      <c r="G220" s="13">
        <v>96</v>
      </c>
      <c r="H220" s="13">
        <v>96000</v>
      </c>
    </row>
    <row r="221" spans="1:8">
      <c r="A221" s="14">
        <v>46133</v>
      </c>
      <c r="B221" s="13" t="s">
        <v>250</v>
      </c>
      <c r="C221" s="13" t="s">
        <v>17</v>
      </c>
      <c r="D221" s="13" t="s">
        <v>147</v>
      </c>
      <c r="E221" s="13" t="s">
        <v>62</v>
      </c>
      <c r="F221" s="13">
        <v>300</v>
      </c>
      <c r="G221" s="13">
        <v>85</v>
      </c>
      <c r="H221" s="13">
        <v>25500</v>
      </c>
    </row>
    <row r="222" spans="1:8">
      <c r="A222" s="14">
        <v>46133</v>
      </c>
      <c r="B222" s="13" t="s">
        <v>250</v>
      </c>
      <c r="C222" s="13" t="s">
        <v>17</v>
      </c>
      <c r="D222" s="13" t="s">
        <v>146</v>
      </c>
      <c r="E222" s="13" t="s">
        <v>62</v>
      </c>
      <c r="F222" s="13">
        <v>1000</v>
      </c>
      <c r="G222" s="13">
        <v>80</v>
      </c>
      <c r="H222" s="13">
        <v>80000</v>
      </c>
    </row>
    <row r="223" spans="1:8">
      <c r="A223" s="14">
        <v>46133</v>
      </c>
      <c r="B223" s="13" t="s">
        <v>250</v>
      </c>
      <c r="C223" s="13" t="s">
        <v>17</v>
      </c>
      <c r="D223" s="13" t="s">
        <v>108</v>
      </c>
      <c r="E223" s="13" t="s">
        <v>62</v>
      </c>
      <c r="F223" s="13">
        <v>50</v>
      </c>
      <c r="G223" s="13">
        <v>283</v>
      </c>
      <c r="H223" s="13">
        <v>14150</v>
      </c>
    </row>
    <row r="224" spans="1:8">
      <c r="A224" s="14">
        <v>46134</v>
      </c>
      <c r="B224" s="13" t="s">
        <v>33</v>
      </c>
      <c r="C224" s="13" t="s">
        <v>17</v>
      </c>
      <c r="D224" s="13" t="s">
        <v>38</v>
      </c>
      <c r="E224" s="13" t="s">
        <v>15</v>
      </c>
      <c r="F224" s="13">
        <v>26</v>
      </c>
      <c r="G224" s="13">
        <v>175</v>
      </c>
      <c r="H224" s="13">
        <v>4550</v>
      </c>
    </row>
    <row r="225" spans="1:8">
      <c r="A225" s="14">
        <v>46134</v>
      </c>
      <c r="B225" s="13" t="s">
        <v>313</v>
      </c>
      <c r="C225" s="13" t="s">
        <v>17</v>
      </c>
      <c r="D225" s="13" t="s">
        <v>40</v>
      </c>
      <c r="E225" s="13" t="s">
        <v>15</v>
      </c>
      <c r="F225" s="13">
        <v>5</v>
      </c>
      <c r="G225" s="13">
        <v>128.57</v>
      </c>
      <c r="H225" s="13">
        <v>642.87</v>
      </c>
    </row>
    <row r="226" spans="1:8">
      <c r="A226" s="14">
        <v>46134</v>
      </c>
      <c r="B226" s="13" t="s">
        <v>39</v>
      </c>
      <c r="C226" s="13" t="s">
        <v>17</v>
      </c>
      <c r="D226" s="13" t="s">
        <v>40</v>
      </c>
      <c r="E226" s="13" t="s">
        <v>15</v>
      </c>
      <c r="F226" s="13">
        <v>50</v>
      </c>
      <c r="G226" s="13">
        <v>135</v>
      </c>
      <c r="H226" s="13">
        <v>6750</v>
      </c>
    </row>
    <row r="227" spans="1:8">
      <c r="A227" s="14">
        <v>46134</v>
      </c>
      <c r="B227" s="13" t="s">
        <v>41</v>
      </c>
      <c r="C227" s="13" t="s">
        <v>17</v>
      </c>
      <c r="D227" s="13" t="s">
        <v>300</v>
      </c>
      <c r="E227" s="13" t="s">
        <v>15</v>
      </c>
      <c r="F227" s="13">
        <v>26</v>
      </c>
      <c r="G227" s="13">
        <v>138</v>
      </c>
      <c r="H227" s="13">
        <v>3588</v>
      </c>
    </row>
    <row r="228" spans="1:8">
      <c r="A228" s="14">
        <v>46134</v>
      </c>
      <c r="B228" s="13" t="s">
        <v>25</v>
      </c>
      <c r="C228" s="13" t="s">
        <v>17</v>
      </c>
      <c r="D228" s="13" t="s">
        <v>300</v>
      </c>
      <c r="E228" s="13" t="s">
        <v>15</v>
      </c>
      <c r="F228" s="13">
        <v>100</v>
      </c>
      <c r="G228" s="13">
        <v>135</v>
      </c>
      <c r="H228" s="13">
        <v>13500</v>
      </c>
    </row>
    <row r="229" spans="1:8">
      <c r="A229" s="14">
        <v>46134</v>
      </c>
      <c r="B229" s="13" t="s">
        <v>314</v>
      </c>
      <c r="C229" s="13" t="s">
        <v>17</v>
      </c>
      <c r="D229" s="13" t="s">
        <v>327</v>
      </c>
      <c r="E229" s="13" t="s">
        <v>15</v>
      </c>
      <c r="F229" s="13">
        <v>26</v>
      </c>
      <c r="G229" s="13">
        <v>133.34</v>
      </c>
      <c r="H229" s="13">
        <v>3466.74</v>
      </c>
    </row>
    <row r="230" spans="1:8">
      <c r="A230" s="14">
        <v>46134</v>
      </c>
      <c r="B230" s="13" t="s">
        <v>315</v>
      </c>
      <c r="C230" s="13" t="s">
        <v>17</v>
      </c>
      <c r="D230" s="13" t="s">
        <v>327</v>
      </c>
      <c r="E230" s="13" t="s">
        <v>15</v>
      </c>
      <c r="F230" s="13">
        <v>10</v>
      </c>
      <c r="G230" s="13">
        <v>138.1</v>
      </c>
      <c r="H230" s="13">
        <v>1380.98</v>
      </c>
    </row>
    <row r="231" spans="1:8">
      <c r="A231" s="14">
        <v>46134</v>
      </c>
      <c r="B231" s="13" t="s">
        <v>152</v>
      </c>
      <c r="C231" s="13" t="s">
        <v>17</v>
      </c>
      <c r="D231" s="13" t="s">
        <v>302</v>
      </c>
      <c r="E231" s="13" t="s">
        <v>15</v>
      </c>
      <c r="F231" s="13">
        <v>210</v>
      </c>
      <c r="G231" s="13">
        <v>175</v>
      </c>
      <c r="H231" s="13">
        <v>36750</v>
      </c>
    </row>
    <row r="232" spans="1:8">
      <c r="A232" s="14">
        <v>46134</v>
      </c>
      <c r="B232" s="13" t="s">
        <v>189</v>
      </c>
      <c r="C232" s="13" t="s">
        <v>17</v>
      </c>
      <c r="D232" s="13" t="s">
        <v>302</v>
      </c>
      <c r="E232" s="13" t="s">
        <v>15</v>
      </c>
      <c r="F232" s="13">
        <v>50</v>
      </c>
      <c r="G232" s="13">
        <v>190</v>
      </c>
      <c r="H232" s="13">
        <v>9500</v>
      </c>
    </row>
    <row r="233" spans="1:8">
      <c r="A233" s="14">
        <v>46134</v>
      </c>
      <c r="B233" s="13" t="s">
        <v>190</v>
      </c>
      <c r="C233" s="13" t="s">
        <v>17</v>
      </c>
      <c r="D233" s="13" t="s">
        <v>302</v>
      </c>
      <c r="E233" s="13" t="s">
        <v>15</v>
      </c>
      <c r="F233" s="13">
        <v>210</v>
      </c>
      <c r="G233" s="13">
        <v>175</v>
      </c>
      <c r="H233" s="13">
        <v>36750</v>
      </c>
    </row>
    <row r="234" spans="1:8">
      <c r="A234" s="14">
        <v>46135</v>
      </c>
      <c r="B234" s="13" t="s">
        <v>122</v>
      </c>
      <c r="C234" s="13" t="s">
        <v>17</v>
      </c>
      <c r="D234" s="13" t="s">
        <v>300</v>
      </c>
      <c r="E234" s="13" t="s">
        <v>15</v>
      </c>
      <c r="F234" s="13">
        <v>26</v>
      </c>
      <c r="G234" s="13">
        <v>140</v>
      </c>
      <c r="H234" s="13">
        <v>3640</v>
      </c>
    </row>
    <row r="235" spans="1:8">
      <c r="A235" s="14">
        <v>46135</v>
      </c>
      <c r="B235" s="13" t="s">
        <v>192</v>
      </c>
      <c r="C235" s="13" t="s">
        <v>17</v>
      </c>
      <c r="D235" s="13" t="s">
        <v>302</v>
      </c>
      <c r="E235" s="13" t="s">
        <v>15</v>
      </c>
      <c r="F235" s="13">
        <v>210</v>
      </c>
      <c r="G235" s="13">
        <v>185</v>
      </c>
      <c r="H235" s="13">
        <v>38850</v>
      </c>
    </row>
    <row r="236" spans="1:8">
      <c r="A236" s="14">
        <v>46135</v>
      </c>
      <c r="B236" s="13" t="s">
        <v>191</v>
      </c>
      <c r="C236" s="13" t="s">
        <v>17</v>
      </c>
      <c r="D236" s="13" t="s">
        <v>302</v>
      </c>
      <c r="E236" s="13" t="s">
        <v>15</v>
      </c>
      <c r="F236" s="13">
        <v>26</v>
      </c>
      <c r="G236" s="13">
        <v>190</v>
      </c>
      <c r="H236" s="13">
        <v>4940</v>
      </c>
    </row>
    <row r="237" spans="1:8">
      <c r="A237" s="14">
        <v>46135</v>
      </c>
      <c r="B237" s="13" t="s">
        <v>193</v>
      </c>
      <c r="C237" s="13" t="s">
        <v>17</v>
      </c>
      <c r="D237" s="13" t="s">
        <v>328</v>
      </c>
      <c r="E237" s="13" t="s">
        <v>15</v>
      </c>
      <c r="F237" s="13">
        <v>100</v>
      </c>
      <c r="G237" s="13">
        <v>225</v>
      </c>
      <c r="H237" s="13">
        <v>22500</v>
      </c>
    </row>
    <row r="238" spans="1:8">
      <c r="A238" s="14">
        <v>46135</v>
      </c>
      <c r="B238" s="13" t="s">
        <v>250</v>
      </c>
      <c r="C238" s="13" t="s">
        <v>17</v>
      </c>
      <c r="D238" s="13" t="s">
        <v>108</v>
      </c>
      <c r="E238" s="13" t="s">
        <v>62</v>
      </c>
      <c r="F238" s="13">
        <v>200</v>
      </c>
      <c r="G238" s="13">
        <v>283</v>
      </c>
      <c r="H238" s="13">
        <v>56600</v>
      </c>
    </row>
    <row r="239" spans="1:8">
      <c r="A239" s="14">
        <v>46136</v>
      </c>
      <c r="B239" s="13" t="s">
        <v>316</v>
      </c>
      <c r="C239" s="13" t="s">
        <v>17</v>
      </c>
      <c r="D239" s="13" t="s">
        <v>36</v>
      </c>
      <c r="E239" s="13" t="s">
        <v>15</v>
      </c>
      <c r="F239" s="13">
        <v>2</v>
      </c>
      <c r="G239" s="13">
        <v>366.68</v>
      </c>
      <c r="H239" s="13">
        <v>733.35</v>
      </c>
    </row>
    <row r="240" spans="1:8">
      <c r="A240" s="14">
        <v>46136</v>
      </c>
      <c r="B240" s="13" t="s">
        <v>317</v>
      </c>
      <c r="C240" s="13" t="s">
        <v>17</v>
      </c>
      <c r="D240" s="13" t="s">
        <v>300</v>
      </c>
      <c r="E240" s="13" t="s">
        <v>15</v>
      </c>
      <c r="F240" s="13">
        <v>26</v>
      </c>
      <c r="G240" s="13">
        <v>133.34</v>
      </c>
      <c r="H240" s="13">
        <v>3466.74</v>
      </c>
    </row>
    <row r="241" spans="1:8">
      <c r="A241" s="14">
        <v>46136</v>
      </c>
      <c r="B241" s="13" t="s">
        <v>42</v>
      </c>
      <c r="C241" s="13" t="s">
        <v>17</v>
      </c>
      <c r="D241" s="13" t="s">
        <v>300</v>
      </c>
      <c r="E241" s="13" t="s">
        <v>15</v>
      </c>
      <c r="F241" s="13">
        <v>50</v>
      </c>
      <c r="G241" s="13">
        <v>140</v>
      </c>
      <c r="H241" s="13">
        <v>7000</v>
      </c>
    </row>
    <row r="242" spans="1:8">
      <c r="A242" s="14">
        <v>46136</v>
      </c>
      <c r="B242" s="13" t="s">
        <v>43</v>
      </c>
      <c r="C242" s="13" t="s">
        <v>17</v>
      </c>
      <c r="D242" s="13" t="s">
        <v>302</v>
      </c>
      <c r="E242" s="13" t="s">
        <v>15</v>
      </c>
      <c r="F242" s="13">
        <v>26</v>
      </c>
      <c r="G242" s="13">
        <v>195</v>
      </c>
      <c r="H242" s="13">
        <v>5070</v>
      </c>
    </row>
    <row r="243" spans="1:8">
      <c r="A243" s="14">
        <v>46136</v>
      </c>
      <c r="B243" s="13" t="s">
        <v>198</v>
      </c>
      <c r="C243" s="13" t="s">
        <v>17</v>
      </c>
      <c r="D243" s="13" t="s">
        <v>302</v>
      </c>
      <c r="E243" s="13" t="s">
        <v>15</v>
      </c>
      <c r="F243" s="13">
        <v>100</v>
      </c>
      <c r="G243" s="13">
        <v>180</v>
      </c>
      <c r="H243" s="13">
        <v>18000</v>
      </c>
    </row>
    <row r="244" spans="1:8">
      <c r="A244" s="14">
        <v>46136</v>
      </c>
      <c r="B244" s="13" t="s">
        <v>197</v>
      </c>
      <c r="C244" s="13" t="s">
        <v>17</v>
      </c>
      <c r="D244" s="13" t="s">
        <v>329</v>
      </c>
      <c r="E244" s="13" t="s">
        <v>15</v>
      </c>
      <c r="F244" s="13">
        <v>210</v>
      </c>
      <c r="G244" s="13">
        <v>180</v>
      </c>
      <c r="H244" s="13">
        <v>37800</v>
      </c>
    </row>
    <row r="245" spans="1:8">
      <c r="A245" s="14">
        <v>46136</v>
      </c>
      <c r="B245" s="13" t="s">
        <v>236</v>
      </c>
      <c r="C245" s="13" t="s">
        <v>17</v>
      </c>
      <c r="D245" s="13" t="s">
        <v>237</v>
      </c>
      <c r="E245" s="13" t="s">
        <v>62</v>
      </c>
      <c r="F245" s="13">
        <v>100</v>
      </c>
      <c r="G245" s="13">
        <v>190</v>
      </c>
      <c r="H245" s="13">
        <v>19000</v>
      </c>
    </row>
    <row r="246" spans="1:8">
      <c r="A246" s="14">
        <v>46136</v>
      </c>
      <c r="B246" s="13" t="s">
        <v>195</v>
      </c>
      <c r="C246" s="13" t="s">
        <v>17</v>
      </c>
      <c r="D246" s="13" t="s">
        <v>121</v>
      </c>
      <c r="E246" s="13" t="s">
        <v>62</v>
      </c>
      <c r="F246" s="13">
        <v>500</v>
      </c>
      <c r="G246" s="13">
        <v>85</v>
      </c>
      <c r="H246" s="13">
        <v>42500</v>
      </c>
    </row>
    <row r="247" spans="1:8">
      <c r="A247" s="14">
        <v>46136</v>
      </c>
      <c r="B247" s="13" t="s">
        <v>195</v>
      </c>
      <c r="C247" s="13" t="s">
        <v>17</v>
      </c>
      <c r="D247" s="13" t="s">
        <v>101</v>
      </c>
      <c r="E247" s="13" t="s">
        <v>62</v>
      </c>
      <c r="F247" s="13">
        <v>500</v>
      </c>
      <c r="G247" s="13">
        <v>115</v>
      </c>
      <c r="H247" s="13">
        <v>57500</v>
      </c>
    </row>
    <row r="248" spans="1:8">
      <c r="A248" s="14">
        <v>46136</v>
      </c>
      <c r="B248" s="13" t="s">
        <v>195</v>
      </c>
      <c r="C248" s="13" t="s">
        <v>17</v>
      </c>
      <c r="D248" s="13" t="s">
        <v>87</v>
      </c>
      <c r="E248" s="13" t="s">
        <v>62</v>
      </c>
      <c r="F248" s="13">
        <v>20</v>
      </c>
      <c r="G248" s="13">
        <v>755</v>
      </c>
      <c r="H248" s="13">
        <v>15100</v>
      </c>
    </row>
    <row r="249" spans="1:8">
      <c r="A249" s="14">
        <v>46136</v>
      </c>
      <c r="B249" s="13" t="s">
        <v>195</v>
      </c>
      <c r="C249" s="13" t="s">
        <v>17</v>
      </c>
      <c r="D249" s="13" t="s">
        <v>147</v>
      </c>
      <c r="E249" s="13" t="s">
        <v>62</v>
      </c>
      <c r="F249" s="13">
        <v>100</v>
      </c>
      <c r="G249" s="13">
        <v>135</v>
      </c>
      <c r="H249" s="13">
        <v>13500</v>
      </c>
    </row>
    <row r="250" spans="1:8">
      <c r="A250" s="14">
        <v>46136</v>
      </c>
      <c r="B250" s="13" t="s">
        <v>195</v>
      </c>
      <c r="C250" s="13" t="s">
        <v>17</v>
      </c>
      <c r="D250" s="13" t="s">
        <v>74</v>
      </c>
      <c r="E250" s="13" t="s">
        <v>62</v>
      </c>
      <c r="F250" s="13">
        <v>200</v>
      </c>
      <c r="G250" s="13">
        <v>95</v>
      </c>
      <c r="H250" s="13">
        <v>19000</v>
      </c>
    </row>
    <row r="251" spans="1:8">
      <c r="A251" s="14">
        <v>46136</v>
      </c>
      <c r="B251" s="13" t="s">
        <v>195</v>
      </c>
      <c r="C251" s="13" t="s">
        <v>17</v>
      </c>
      <c r="D251" s="13" t="s">
        <v>196</v>
      </c>
      <c r="E251" s="13" t="s">
        <v>62</v>
      </c>
      <c r="F251" s="13">
        <v>200</v>
      </c>
      <c r="G251" s="13">
        <v>85</v>
      </c>
      <c r="H251" s="13">
        <v>17000</v>
      </c>
    </row>
    <row r="252" spans="1:8">
      <c r="A252" s="14">
        <v>46136</v>
      </c>
      <c r="B252" s="13" t="s">
        <v>195</v>
      </c>
      <c r="C252" s="13" t="s">
        <v>17</v>
      </c>
      <c r="D252" s="13" t="s">
        <v>120</v>
      </c>
      <c r="E252" s="13" t="s">
        <v>62</v>
      </c>
      <c r="F252" s="13">
        <v>500</v>
      </c>
      <c r="G252" s="13">
        <v>95</v>
      </c>
      <c r="H252" s="13">
        <v>47500</v>
      </c>
    </row>
    <row r="253" spans="1:8">
      <c r="A253" s="14">
        <v>46137</v>
      </c>
      <c r="B253" s="13" t="s">
        <v>202</v>
      </c>
      <c r="C253" s="13" t="s">
        <v>17</v>
      </c>
      <c r="D253" s="13" t="s">
        <v>36</v>
      </c>
      <c r="E253" s="13" t="s">
        <v>15</v>
      </c>
      <c r="F253" s="13">
        <v>26</v>
      </c>
      <c r="G253" s="13">
        <v>340</v>
      </c>
      <c r="H253" s="13">
        <v>8840</v>
      </c>
    </row>
    <row r="254" spans="1:8">
      <c r="A254" s="14">
        <v>46137</v>
      </c>
      <c r="B254" s="13" t="s">
        <v>202</v>
      </c>
      <c r="C254" s="13" t="s">
        <v>17</v>
      </c>
      <c r="D254" s="13" t="s">
        <v>81</v>
      </c>
      <c r="E254" s="13" t="s">
        <v>15</v>
      </c>
      <c r="F254" s="13">
        <v>210</v>
      </c>
      <c r="G254" s="13">
        <v>485</v>
      </c>
      <c r="H254" s="13">
        <v>101850</v>
      </c>
    </row>
    <row r="255" spans="1:8">
      <c r="A255" s="14">
        <v>46137</v>
      </c>
      <c r="B255" s="13" t="s">
        <v>199</v>
      </c>
      <c r="C255" s="13" t="s">
        <v>17</v>
      </c>
      <c r="D255" s="13" t="s">
        <v>302</v>
      </c>
      <c r="E255" s="13" t="s">
        <v>15</v>
      </c>
      <c r="F255" s="13">
        <v>210</v>
      </c>
      <c r="G255" s="13">
        <v>180</v>
      </c>
      <c r="H255" s="13">
        <v>37800</v>
      </c>
    </row>
    <row r="256" spans="1:8">
      <c r="A256" s="14">
        <v>46137</v>
      </c>
      <c r="B256" s="13" t="s">
        <v>201</v>
      </c>
      <c r="C256" s="13" t="s">
        <v>17</v>
      </c>
      <c r="D256" s="13" t="s">
        <v>302</v>
      </c>
      <c r="E256" s="13" t="s">
        <v>15</v>
      </c>
      <c r="F256" s="13">
        <v>100</v>
      </c>
      <c r="G256" s="13">
        <v>175</v>
      </c>
      <c r="H256" s="13">
        <v>17500</v>
      </c>
    </row>
    <row r="257" spans="1:8">
      <c r="A257" s="14">
        <v>46137</v>
      </c>
      <c r="B257" s="13" t="s">
        <v>186</v>
      </c>
      <c r="C257" s="13" t="s">
        <v>17</v>
      </c>
      <c r="D257" s="13" t="s">
        <v>302</v>
      </c>
      <c r="E257" s="13" t="s">
        <v>15</v>
      </c>
      <c r="F257" s="13">
        <v>210</v>
      </c>
      <c r="G257" s="13">
        <v>180</v>
      </c>
      <c r="H257" s="13">
        <v>37800</v>
      </c>
    </row>
    <row r="258" spans="1:8">
      <c r="A258" s="14">
        <v>46137</v>
      </c>
      <c r="B258" s="13" t="s">
        <v>203</v>
      </c>
      <c r="C258" s="13" t="s">
        <v>17</v>
      </c>
      <c r="D258" s="13" t="s">
        <v>328</v>
      </c>
      <c r="E258" s="13" t="s">
        <v>15</v>
      </c>
      <c r="F258" s="13">
        <v>26</v>
      </c>
      <c r="G258" s="13">
        <v>200</v>
      </c>
      <c r="H258" s="13">
        <v>5200</v>
      </c>
    </row>
    <row r="259" spans="1:8">
      <c r="A259" s="14">
        <v>46137</v>
      </c>
      <c r="B259" s="13" t="s">
        <v>86</v>
      </c>
      <c r="C259" s="13" t="s">
        <v>17</v>
      </c>
      <c r="D259" s="13" t="s">
        <v>87</v>
      </c>
      <c r="E259" s="13" t="s">
        <v>62</v>
      </c>
      <c r="F259" s="13">
        <v>20</v>
      </c>
      <c r="G259" s="13">
        <v>605</v>
      </c>
      <c r="H259" s="13">
        <v>12100</v>
      </c>
    </row>
    <row r="260" spans="1:8">
      <c r="A260" s="14">
        <v>46137</v>
      </c>
      <c r="B260" s="13" t="s">
        <v>275</v>
      </c>
      <c r="C260" s="13" t="s">
        <v>17</v>
      </c>
      <c r="D260" s="13" t="s">
        <v>204</v>
      </c>
      <c r="E260" s="13" t="s">
        <v>62</v>
      </c>
      <c r="F260" s="13">
        <v>200</v>
      </c>
      <c r="G260" s="13">
        <v>95</v>
      </c>
      <c r="H260" s="13">
        <v>19000</v>
      </c>
    </row>
    <row r="261" spans="1:8">
      <c r="A261" s="14">
        <v>46139</v>
      </c>
      <c r="B261" s="13" t="s">
        <v>206</v>
      </c>
      <c r="C261" s="13" t="s">
        <v>17</v>
      </c>
      <c r="D261" s="13" t="s">
        <v>36</v>
      </c>
      <c r="E261" s="13" t="s">
        <v>15</v>
      </c>
      <c r="F261" s="13">
        <v>5</v>
      </c>
      <c r="G261" s="13">
        <v>380</v>
      </c>
      <c r="H261" s="13">
        <v>1900</v>
      </c>
    </row>
    <row r="262" spans="1:8">
      <c r="A262" s="14">
        <v>46139</v>
      </c>
      <c r="B262" s="13" t="s">
        <v>205</v>
      </c>
      <c r="C262" s="13" t="s">
        <v>17</v>
      </c>
      <c r="D262" s="13" t="s">
        <v>177</v>
      </c>
      <c r="E262" s="13" t="s">
        <v>15</v>
      </c>
      <c r="F262" s="13">
        <v>5</v>
      </c>
      <c r="G262" s="13">
        <v>185</v>
      </c>
      <c r="H262" s="13">
        <v>925</v>
      </c>
    </row>
    <row r="263" spans="1:8">
      <c r="A263" s="14">
        <v>46139</v>
      </c>
      <c r="B263" s="13" t="s">
        <v>210</v>
      </c>
      <c r="C263" s="13" t="s">
        <v>17</v>
      </c>
      <c r="D263" s="13" t="s">
        <v>81</v>
      </c>
      <c r="E263" s="13" t="s">
        <v>15</v>
      </c>
      <c r="F263" s="13">
        <v>210</v>
      </c>
      <c r="G263" s="13">
        <v>515</v>
      </c>
      <c r="H263" s="13">
        <v>108150</v>
      </c>
    </row>
    <row r="264" spans="1:8">
      <c r="A264" s="14">
        <v>46139</v>
      </c>
      <c r="B264" s="13" t="s">
        <v>209</v>
      </c>
      <c r="C264" s="13" t="s">
        <v>17</v>
      </c>
      <c r="D264" s="13" t="s">
        <v>327</v>
      </c>
      <c r="E264" s="13" t="s">
        <v>15</v>
      </c>
      <c r="F264" s="13">
        <v>26</v>
      </c>
      <c r="G264" s="13">
        <v>135</v>
      </c>
      <c r="H264" s="13">
        <v>3510</v>
      </c>
    </row>
    <row r="265" spans="1:8">
      <c r="A265" s="14">
        <v>46139</v>
      </c>
      <c r="B265" s="13" t="s">
        <v>207</v>
      </c>
      <c r="C265" s="13" t="s">
        <v>17</v>
      </c>
      <c r="D265" s="13" t="s">
        <v>328</v>
      </c>
      <c r="E265" s="13" t="s">
        <v>15</v>
      </c>
      <c r="F265" s="13">
        <v>100</v>
      </c>
      <c r="G265" s="13">
        <v>240</v>
      </c>
      <c r="H265" s="13">
        <v>24000</v>
      </c>
    </row>
    <row r="266" spans="1:8">
      <c r="A266" s="14">
        <v>46139</v>
      </c>
      <c r="B266" s="13" t="s">
        <v>208</v>
      </c>
      <c r="C266" s="13" t="s">
        <v>17</v>
      </c>
      <c r="D266" s="13" t="s">
        <v>328</v>
      </c>
      <c r="E266" s="13" t="s">
        <v>15</v>
      </c>
      <c r="F266" s="13">
        <v>50</v>
      </c>
      <c r="G266" s="13">
        <v>260</v>
      </c>
      <c r="H266" s="13">
        <v>13000</v>
      </c>
    </row>
    <row r="267" spans="1:8">
      <c r="A267" s="14">
        <v>46139</v>
      </c>
      <c r="B267" s="13" t="s">
        <v>214</v>
      </c>
      <c r="C267" s="13" t="s">
        <v>17</v>
      </c>
      <c r="D267" s="13" t="s">
        <v>328</v>
      </c>
      <c r="E267" s="13" t="s">
        <v>15</v>
      </c>
      <c r="F267" s="13">
        <v>50</v>
      </c>
      <c r="G267" s="13">
        <v>235</v>
      </c>
      <c r="H267" s="13">
        <v>11750</v>
      </c>
    </row>
    <row r="268" spans="1:8">
      <c r="A268" s="14">
        <v>46139</v>
      </c>
      <c r="B268" s="13" t="s">
        <v>250</v>
      </c>
      <c r="C268" s="13" t="s">
        <v>17</v>
      </c>
      <c r="D268" s="13" t="s">
        <v>108</v>
      </c>
      <c r="E268" s="13" t="s">
        <v>62</v>
      </c>
      <c r="F268" s="13">
        <v>200</v>
      </c>
      <c r="G268" s="13">
        <v>283</v>
      </c>
      <c r="H268" s="13">
        <v>56600</v>
      </c>
    </row>
    <row r="269" spans="1:8">
      <c r="A269" s="14">
        <v>46139</v>
      </c>
      <c r="B269" s="13" t="s">
        <v>236</v>
      </c>
      <c r="C269" s="13" t="s">
        <v>17</v>
      </c>
      <c r="D269" s="13" t="s">
        <v>237</v>
      </c>
      <c r="E269" s="13" t="s">
        <v>62</v>
      </c>
      <c r="F269" s="13">
        <v>100</v>
      </c>
      <c r="G269" s="13">
        <v>190</v>
      </c>
      <c r="H269" s="13">
        <v>19000</v>
      </c>
    </row>
    <row r="270" spans="1:8">
      <c r="A270" s="14">
        <v>46139</v>
      </c>
      <c r="B270" s="13" t="s">
        <v>212</v>
      </c>
      <c r="C270" s="13" t="s">
        <v>17</v>
      </c>
      <c r="D270" s="13" t="s">
        <v>104</v>
      </c>
      <c r="E270" s="13" t="s">
        <v>62</v>
      </c>
      <c r="F270" s="13">
        <v>1000</v>
      </c>
      <c r="G270" s="13">
        <v>70</v>
      </c>
      <c r="H270" s="13">
        <v>70000</v>
      </c>
    </row>
    <row r="271" spans="1:8">
      <c r="A271" s="14">
        <v>46139</v>
      </c>
      <c r="B271" s="13" t="s">
        <v>212</v>
      </c>
      <c r="C271" s="13" t="s">
        <v>17</v>
      </c>
      <c r="D271" s="13" t="s">
        <v>213</v>
      </c>
      <c r="E271" s="13" t="s">
        <v>62</v>
      </c>
      <c r="F271" s="13">
        <v>1000</v>
      </c>
      <c r="G271" s="13">
        <v>97</v>
      </c>
      <c r="H271" s="13">
        <v>97000</v>
      </c>
    </row>
    <row r="272" spans="1:8">
      <c r="A272" s="14">
        <v>46140</v>
      </c>
      <c r="B272" s="13" t="s">
        <v>215</v>
      </c>
      <c r="C272" s="13" t="s">
        <v>17</v>
      </c>
      <c r="D272" s="13" t="s">
        <v>177</v>
      </c>
      <c r="E272" s="13" t="s">
        <v>15</v>
      </c>
      <c r="F272" s="13">
        <v>4</v>
      </c>
      <c r="G272" s="13">
        <v>180</v>
      </c>
      <c r="H272" s="13">
        <v>720</v>
      </c>
    </row>
    <row r="273" spans="1:8">
      <c r="A273" s="14">
        <v>46140</v>
      </c>
      <c r="B273" s="13" t="s">
        <v>215</v>
      </c>
      <c r="C273" s="13" t="s">
        <v>17</v>
      </c>
      <c r="D273" s="13" t="s">
        <v>300</v>
      </c>
      <c r="E273" s="13" t="s">
        <v>15</v>
      </c>
      <c r="F273" s="13">
        <v>104</v>
      </c>
      <c r="G273" s="13">
        <v>139</v>
      </c>
      <c r="H273" s="13">
        <v>14456</v>
      </c>
    </row>
    <row r="274" spans="1:8">
      <c r="A274" s="14">
        <v>46140</v>
      </c>
      <c r="B274" s="13" t="s">
        <v>219</v>
      </c>
      <c r="C274" s="13" t="s">
        <v>17</v>
      </c>
      <c r="D274" s="13" t="s">
        <v>302</v>
      </c>
      <c r="E274" s="13" t="s">
        <v>15</v>
      </c>
      <c r="F274" s="13">
        <v>104</v>
      </c>
      <c r="G274" s="13">
        <v>180</v>
      </c>
      <c r="H274" s="13">
        <v>18720</v>
      </c>
    </row>
    <row r="275" spans="1:8">
      <c r="A275" s="14">
        <v>46140</v>
      </c>
      <c r="B275" s="13" t="s">
        <v>170</v>
      </c>
      <c r="C275" s="13" t="s">
        <v>17</v>
      </c>
      <c r="D275" s="13" t="s">
        <v>302</v>
      </c>
      <c r="E275" s="13" t="s">
        <v>15</v>
      </c>
      <c r="F275" s="13">
        <v>50</v>
      </c>
      <c r="G275" s="13">
        <v>220</v>
      </c>
      <c r="H275" s="13">
        <v>11000</v>
      </c>
    </row>
    <row r="276" spans="1:8">
      <c r="A276" s="14">
        <v>46140</v>
      </c>
      <c r="B276" s="13" t="s">
        <v>215</v>
      </c>
      <c r="C276" s="13" t="s">
        <v>17</v>
      </c>
      <c r="D276" s="13" t="s">
        <v>216</v>
      </c>
      <c r="E276" s="13" t="s">
        <v>15</v>
      </c>
      <c r="F276" s="13">
        <v>4</v>
      </c>
      <c r="G276" s="13">
        <v>220</v>
      </c>
      <c r="H276" s="13">
        <v>880</v>
      </c>
    </row>
    <row r="277" spans="1:8">
      <c r="A277" s="14">
        <v>46140</v>
      </c>
      <c r="B277" s="13" t="s">
        <v>184</v>
      </c>
      <c r="C277" s="13" t="s">
        <v>17</v>
      </c>
      <c r="D277" s="13" t="s">
        <v>218</v>
      </c>
      <c r="E277" s="13" t="s">
        <v>62</v>
      </c>
      <c r="F277" s="13">
        <v>1000</v>
      </c>
      <c r="G277" s="13">
        <v>117</v>
      </c>
      <c r="H277" s="13">
        <v>117000</v>
      </c>
    </row>
    <row r="278" spans="1:8">
      <c r="A278" s="14">
        <v>46140</v>
      </c>
      <c r="B278" s="13" t="s">
        <v>184</v>
      </c>
      <c r="C278" s="13" t="s">
        <v>17</v>
      </c>
      <c r="D278" s="13" t="s">
        <v>104</v>
      </c>
      <c r="E278" s="13" t="s">
        <v>62</v>
      </c>
      <c r="F278" s="13">
        <v>1000</v>
      </c>
      <c r="G278" s="13">
        <v>65</v>
      </c>
      <c r="H278" s="13">
        <v>65000</v>
      </c>
    </row>
    <row r="279" spans="1:8">
      <c r="A279" s="14">
        <v>46140</v>
      </c>
      <c r="B279" s="13" t="s">
        <v>275</v>
      </c>
      <c r="C279" s="13" t="s">
        <v>17</v>
      </c>
      <c r="D279" s="13" t="s">
        <v>204</v>
      </c>
      <c r="E279" s="13" t="s">
        <v>62</v>
      </c>
      <c r="F279" s="13">
        <v>300</v>
      </c>
      <c r="G279" s="13">
        <v>95</v>
      </c>
      <c r="H279" s="13">
        <v>28500</v>
      </c>
    </row>
    <row r="280" spans="1:8">
      <c r="A280" s="14">
        <v>46141</v>
      </c>
      <c r="B280" s="13" t="s">
        <v>223</v>
      </c>
      <c r="C280" s="13" t="s">
        <v>17</v>
      </c>
      <c r="D280" s="13" t="s">
        <v>36</v>
      </c>
      <c r="E280" s="13" t="s">
        <v>15</v>
      </c>
      <c r="F280" s="13">
        <v>4</v>
      </c>
      <c r="G280" s="13">
        <v>400</v>
      </c>
      <c r="H280" s="13">
        <v>1600</v>
      </c>
    </row>
    <row r="281" spans="1:8">
      <c r="A281" s="14">
        <v>46141</v>
      </c>
      <c r="B281" s="13" t="s">
        <v>45</v>
      </c>
      <c r="C281" s="13" t="s">
        <v>17</v>
      </c>
      <c r="D281" s="13" t="s">
        <v>300</v>
      </c>
      <c r="E281" s="13" t="s">
        <v>15</v>
      </c>
      <c r="F281" s="13">
        <v>210</v>
      </c>
      <c r="G281" s="13">
        <v>135</v>
      </c>
      <c r="H281" s="13">
        <v>28350</v>
      </c>
    </row>
    <row r="282" spans="1:8">
      <c r="A282" s="14">
        <v>46141</v>
      </c>
      <c r="B282" s="13" t="s">
        <v>44</v>
      </c>
      <c r="C282" s="13" t="s">
        <v>17</v>
      </c>
      <c r="D282" s="13" t="s">
        <v>300</v>
      </c>
      <c r="E282" s="13" t="s">
        <v>15</v>
      </c>
      <c r="F282" s="13">
        <v>26</v>
      </c>
      <c r="G282" s="13">
        <v>140</v>
      </c>
      <c r="H282" s="13">
        <v>3640</v>
      </c>
    </row>
    <row r="283" spans="1:8">
      <c r="A283" s="14">
        <v>46141</v>
      </c>
      <c r="B283" s="13" t="s">
        <v>46</v>
      </c>
      <c r="C283" s="13" t="s">
        <v>17</v>
      </c>
      <c r="D283" s="13" t="s">
        <v>300</v>
      </c>
      <c r="E283" s="13" t="s">
        <v>15</v>
      </c>
      <c r="F283" s="13">
        <v>26</v>
      </c>
      <c r="G283" s="13">
        <v>148</v>
      </c>
      <c r="H283" s="13">
        <v>3848</v>
      </c>
    </row>
    <row r="284" spans="1:8">
      <c r="A284" s="14">
        <v>46141</v>
      </c>
      <c r="B284" s="13" t="s">
        <v>221</v>
      </c>
      <c r="C284" s="13" t="s">
        <v>17</v>
      </c>
      <c r="D284" s="13" t="s">
        <v>300</v>
      </c>
      <c r="E284" s="13" t="s">
        <v>15</v>
      </c>
      <c r="F284" s="13">
        <v>210</v>
      </c>
      <c r="G284" s="13">
        <v>135</v>
      </c>
      <c r="H284" s="13">
        <v>28350</v>
      </c>
    </row>
    <row r="285" spans="1:8">
      <c r="A285" s="14">
        <v>46141</v>
      </c>
      <c r="B285" s="13" t="s">
        <v>222</v>
      </c>
      <c r="C285" s="13" t="s">
        <v>17</v>
      </c>
      <c r="D285" s="13" t="s">
        <v>327</v>
      </c>
      <c r="E285" s="13" t="s">
        <v>15</v>
      </c>
      <c r="F285" s="13">
        <v>50</v>
      </c>
      <c r="G285" s="13">
        <v>140</v>
      </c>
      <c r="H285" s="13">
        <v>7000</v>
      </c>
    </row>
    <row r="286" spans="1:8">
      <c r="A286" s="14">
        <v>46141</v>
      </c>
      <c r="B286" s="13" t="s">
        <v>45</v>
      </c>
      <c r="C286" s="13" t="s">
        <v>17</v>
      </c>
      <c r="D286" s="13" t="s">
        <v>302</v>
      </c>
      <c r="E286" s="13" t="s">
        <v>15</v>
      </c>
      <c r="F286" s="13">
        <v>100</v>
      </c>
      <c r="G286" s="13">
        <v>175</v>
      </c>
      <c r="H286" s="13">
        <v>17500</v>
      </c>
    </row>
    <row r="287" spans="1:8">
      <c r="A287" s="14">
        <v>46141</v>
      </c>
      <c r="B287" s="13" t="s">
        <v>44</v>
      </c>
      <c r="C287" s="13" t="s">
        <v>17</v>
      </c>
      <c r="D287" s="13" t="s">
        <v>302</v>
      </c>
      <c r="E287" s="13" t="s">
        <v>15</v>
      </c>
      <c r="F287" s="13">
        <v>26</v>
      </c>
      <c r="G287" s="13">
        <v>180</v>
      </c>
      <c r="H287" s="13">
        <v>4680</v>
      </c>
    </row>
    <row r="288" spans="1:8">
      <c r="A288" s="14">
        <v>46141</v>
      </c>
      <c r="B288" s="13" t="s">
        <v>54</v>
      </c>
      <c r="C288" s="13" t="s">
        <v>17</v>
      </c>
      <c r="D288" s="13" t="s">
        <v>302</v>
      </c>
      <c r="E288" s="13" t="s">
        <v>15</v>
      </c>
      <c r="F288" s="13">
        <v>50</v>
      </c>
      <c r="G288" s="13">
        <v>180</v>
      </c>
      <c r="H288" s="13">
        <v>9000</v>
      </c>
    </row>
    <row r="289" spans="1:8">
      <c r="A289" s="14">
        <v>46141</v>
      </c>
      <c r="B289" s="13" t="s">
        <v>226</v>
      </c>
      <c r="C289" s="13" t="s">
        <v>17</v>
      </c>
      <c r="D289" s="13" t="s">
        <v>328</v>
      </c>
      <c r="E289" s="13" t="s">
        <v>15</v>
      </c>
      <c r="F289" s="13">
        <v>420</v>
      </c>
      <c r="G289" s="13">
        <v>226.67</v>
      </c>
      <c r="H289" s="13">
        <v>95202</v>
      </c>
    </row>
    <row r="290" spans="1:8">
      <c r="A290" s="14">
        <v>46141</v>
      </c>
      <c r="B290" s="13" t="s">
        <v>236</v>
      </c>
      <c r="C290" s="13" t="s">
        <v>17</v>
      </c>
      <c r="D290" s="13" t="s">
        <v>110</v>
      </c>
      <c r="E290" s="13" t="s">
        <v>62</v>
      </c>
      <c r="F290" s="13">
        <v>100</v>
      </c>
      <c r="G290" s="13">
        <v>386.06</v>
      </c>
      <c r="H290" s="13">
        <v>38606</v>
      </c>
    </row>
    <row r="291" spans="1:8">
      <c r="A291" s="14">
        <v>46141</v>
      </c>
      <c r="B291" s="13" t="s">
        <v>236</v>
      </c>
      <c r="C291" s="13" t="s">
        <v>17</v>
      </c>
      <c r="D291" s="13" t="s">
        <v>88</v>
      </c>
      <c r="E291" s="13" t="s">
        <v>62</v>
      </c>
      <c r="F291" s="13">
        <v>50</v>
      </c>
      <c r="G291" s="13">
        <v>281.3</v>
      </c>
      <c r="H291" s="13">
        <v>14065</v>
      </c>
    </row>
    <row r="292" spans="1:8">
      <c r="A292" s="14">
        <v>46141</v>
      </c>
      <c r="B292" s="13" t="s">
        <v>132</v>
      </c>
      <c r="C292" s="13" t="s">
        <v>17</v>
      </c>
      <c r="D292" s="13" t="s">
        <v>66</v>
      </c>
      <c r="E292" s="13" t="s">
        <v>62</v>
      </c>
      <c r="F292" s="13">
        <v>300</v>
      </c>
      <c r="G292" s="13">
        <v>70</v>
      </c>
      <c r="H292" s="13">
        <v>21000</v>
      </c>
    </row>
    <row r="293" spans="1:8">
      <c r="A293" s="14">
        <v>46141</v>
      </c>
      <c r="B293" s="13" t="s">
        <v>132</v>
      </c>
      <c r="C293" s="13" t="s">
        <v>17</v>
      </c>
      <c r="D293" s="13" t="s">
        <v>88</v>
      </c>
      <c r="E293" s="13" t="s">
        <v>62</v>
      </c>
      <c r="F293" s="13">
        <v>100</v>
      </c>
      <c r="G293" s="13">
        <v>240</v>
      </c>
      <c r="H293" s="13">
        <v>24000</v>
      </c>
    </row>
    <row r="294" spans="1:8">
      <c r="A294" s="14">
        <v>46142</v>
      </c>
      <c r="B294" s="13" t="s">
        <v>47</v>
      </c>
      <c r="C294" s="13" t="s">
        <v>17</v>
      </c>
      <c r="D294" s="13" t="s">
        <v>300</v>
      </c>
      <c r="E294" s="13" t="s">
        <v>15</v>
      </c>
      <c r="F294" s="13">
        <v>26</v>
      </c>
      <c r="G294" s="13">
        <v>140</v>
      </c>
      <c r="H294" s="13">
        <v>3640</v>
      </c>
    </row>
    <row r="295" spans="1:8">
      <c r="A295" s="14">
        <v>46142</v>
      </c>
      <c r="B295" s="13" t="s">
        <v>206</v>
      </c>
      <c r="C295" s="13" t="s">
        <v>17</v>
      </c>
      <c r="D295" s="13" t="s">
        <v>302</v>
      </c>
      <c r="E295" s="13" t="s">
        <v>15</v>
      </c>
      <c r="F295" s="13">
        <v>210</v>
      </c>
      <c r="G295" s="13">
        <v>170</v>
      </c>
      <c r="H295" s="13">
        <v>35700</v>
      </c>
    </row>
    <row r="296" spans="1:8">
      <c r="A296" s="14">
        <v>46142</v>
      </c>
      <c r="B296" s="13" t="s">
        <v>241</v>
      </c>
      <c r="C296" s="13" t="s">
        <v>17</v>
      </c>
      <c r="D296" s="13" t="s">
        <v>262</v>
      </c>
      <c r="E296" s="13" t="s">
        <v>62</v>
      </c>
      <c r="F296" s="13">
        <v>1000</v>
      </c>
      <c r="G296" s="13">
        <v>96</v>
      </c>
      <c r="H296" s="13">
        <v>96000</v>
      </c>
    </row>
    <row r="297" spans="1:8">
      <c r="A297" s="14">
        <v>46142</v>
      </c>
      <c r="B297" s="13" t="s">
        <v>57</v>
      </c>
      <c r="C297" s="13" t="s">
        <v>17</v>
      </c>
      <c r="D297" s="13" t="s">
        <v>121</v>
      </c>
      <c r="E297" s="13" t="s">
        <v>62</v>
      </c>
      <c r="F297" s="13">
        <v>1000</v>
      </c>
      <c r="G297" s="13">
        <v>65</v>
      </c>
      <c r="H297" s="13">
        <v>65000</v>
      </c>
    </row>
    <row r="298" spans="1:8">
      <c r="A298" s="14">
        <v>46142</v>
      </c>
      <c r="B298" s="13" t="s">
        <v>212</v>
      </c>
      <c r="C298" s="13" t="s">
        <v>17</v>
      </c>
      <c r="D298" s="13" t="s">
        <v>104</v>
      </c>
      <c r="E298" s="13" t="s">
        <v>62</v>
      </c>
      <c r="F298" s="13">
        <v>1000</v>
      </c>
      <c r="G298" s="13">
        <v>70</v>
      </c>
      <c r="H298" s="13">
        <v>70000</v>
      </c>
    </row>
    <row r="299" spans="1:8">
      <c r="A299" s="14">
        <v>46142</v>
      </c>
      <c r="B299" s="13" t="s">
        <v>212</v>
      </c>
      <c r="C299" s="13" t="s">
        <v>17</v>
      </c>
      <c r="D299" s="13" t="s">
        <v>213</v>
      </c>
      <c r="E299" s="13" t="s">
        <v>62</v>
      </c>
      <c r="F299" s="13">
        <v>500</v>
      </c>
      <c r="G299" s="13">
        <v>97</v>
      </c>
      <c r="H299" s="13">
        <v>48500</v>
      </c>
    </row>
  </sheetData>
  <autoFilter ref="A4:H299">
    <sortState ref="A5:H299">
      <sortCondition ref="A4"/>
    </sortState>
  </autoFilter>
  <sortState ref="A154:I185">
    <sortCondition ref="A154:A185"/>
  </sortState>
  <mergeCells count="2">
    <mergeCell ref="A2:H2"/>
    <mergeCell ref="A3:H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L49"/>
  <sheetViews>
    <sheetView topLeftCell="A21" workbookViewId="0">
      <selection activeCell="A5" sqref="A5:I49"/>
    </sheetView>
  </sheetViews>
  <sheetFormatPr defaultRowHeight="14.5"/>
  <cols>
    <col min="1" max="1" width="11.26953125" customWidth="1"/>
    <col min="2" max="2" width="11.453125" customWidth="1"/>
    <col min="3" max="3" width="32" customWidth="1"/>
    <col min="4" max="4" width="7" customWidth="1"/>
    <col min="5" max="5" width="25.26953125" customWidth="1"/>
    <col min="6" max="6" width="5.7265625" bestFit="1" customWidth="1"/>
    <col min="7" max="7" width="6.7265625" bestFit="1" customWidth="1"/>
    <col min="8" max="8" width="8" bestFit="1" customWidth="1"/>
    <col min="9" max="9" width="9" bestFit="1" customWidth="1"/>
    <col min="10" max="10" width="8.26953125" customWidth="1"/>
    <col min="11" max="11" width="0" hidden="1" customWidth="1"/>
    <col min="12" max="12" width="9.26953125" bestFit="1" customWidth="1"/>
  </cols>
  <sheetData>
    <row r="2" spans="1:12">
      <c r="A2" s="16" t="s">
        <v>303</v>
      </c>
      <c r="B2" s="16"/>
      <c r="C2" s="16"/>
      <c r="D2" s="16"/>
      <c r="E2" s="16"/>
      <c r="F2" s="16"/>
      <c r="G2" s="16"/>
      <c r="H2" s="16"/>
      <c r="I2" s="16"/>
    </row>
    <row r="3" spans="1:12">
      <c r="A3" s="17" t="s">
        <v>5</v>
      </c>
      <c r="B3" s="17"/>
      <c r="C3" s="17"/>
      <c r="D3" s="17"/>
      <c r="E3" s="17"/>
      <c r="F3" s="17"/>
      <c r="G3" s="17"/>
      <c r="H3" s="17"/>
      <c r="I3" s="17"/>
    </row>
    <row r="4" spans="1:12">
      <c r="A4" s="8" t="s">
        <v>6</v>
      </c>
      <c r="B4" s="8" t="s">
        <v>7</v>
      </c>
      <c r="C4" s="8" t="s">
        <v>10</v>
      </c>
      <c r="D4" s="8" t="s">
        <v>12</v>
      </c>
      <c r="E4" s="8" t="s">
        <v>11</v>
      </c>
      <c r="F4" s="8" t="s">
        <v>9</v>
      </c>
      <c r="G4" s="8" t="s">
        <v>13</v>
      </c>
      <c r="H4" s="8" t="s">
        <v>14</v>
      </c>
      <c r="I4" s="8" t="s">
        <v>8</v>
      </c>
      <c r="J4" s="12" t="s">
        <v>13</v>
      </c>
      <c r="K4" s="12" t="s">
        <v>14</v>
      </c>
      <c r="L4" s="12" t="s">
        <v>8</v>
      </c>
    </row>
    <row r="5" spans="1:12">
      <c r="A5" s="9" t="s">
        <v>253</v>
      </c>
      <c r="B5" s="10">
        <v>46128</v>
      </c>
      <c r="C5" s="9" t="s">
        <v>254</v>
      </c>
      <c r="D5" s="9" t="s">
        <v>17</v>
      </c>
      <c r="E5" s="9" t="s">
        <v>229</v>
      </c>
      <c r="F5" s="9" t="s">
        <v>62</v>
      </c>
      <c r="G5" s="9">
        <v>500</v>
      </c>
      <c r="H5" s="9">
        <v>65</v>
      </c>
      <c r="I5" s="9">
        <v>32500</v>
      </c>
      <c r="J5" s="13"/>
      <c r="K5" s="13"/>
      <c r="L5" s="13"/>
    </row>
    <row r="6" spans="1:12">
      <c r="A6" s="9" t="s">
        <v>242</v>
      </c>
      <c r="B6" s="10">
        <v>46120</v>
      </c>
      <c r="C6" s="9" t="s">
        <v>243</v>
      </c>
      <c r="D6" s="9" t="s">
        <v>17</v>
      </c>
      <c r="E6" s="9" t="s">
        <v>229</v>
      </c>
      <c r="F6" s="9" t="s">
        <v>62</v>
      </c>
      <c r="G6" s="9">
        <v>250</v>
      </c>
      <c r="H6" s="9">
        <v>70</v>
      </c>
      <c r="I6" s="9">
        <v>17500</v>
      </c>
      <c r="J6" s="13"/>
      <c r="K6" s="13"/>
      <c r="L6" s="13"/>
    </row>
    <row r="7" spans="1:12">
      <c r="A7" s="9" t="s">
        <v>257</v>
      </c>
      <c r="B7" s="10">
        <v>46130</v>
      </c>
      <c r="C7" s="9" t="s">
        <v>258</v>
      </c>
      <c r="D7" s="9" t="s">
        <v>17</v>
      </c>
      <c r="E7" s="9" t="s">
        <v>229</v>
      </c>
      <c r="F7" s="9" t="s">
        <v>62</v>
      </c>
      <c r="G7" s="9">
        <v>500</v>
      </c>
      <c r="H7" s="9">
        <v>50</v>
      </c>
      <c r="I7" s="9">
        <v>25000</v>
      </c>
      <c r="J7" s="13"/>
      <c r="K7" s="13"/>
      <c r="L7" s="13"/>
    </row>
    <row r="8" spans="1:12">
      <c r="A8" s="9" t="s">
        <v>227</v>
      </c>
      <c r="B8" s="10">
        <v>46114</v>
      </c>
      <c r="C8" s="9" t="s">
        <v>228</v>
      </c>
      <c r="D8" s="9" t="s">
        <v>17</v>
      </c>
      <c r="E8" s="9" t="s">
        <v>229</v>
      </c>
      <c r="F8" s="9" t="s">
        <v>62</v>
      </c>
      <c r="G8" s="9">
        <v>200</v>
      </c>
      <c r="H8" s="9">
        <v>70</v>
      </c>
      <c r="I8" s="9">
        <v>14000</v>
      </c>
      <c r="J8" s="13"/>
      <c r="K8" s="13"/>
      <c r="L8" s="13"/>
    </row>
    <row r="9" spans="1:12">
      <c r="A9" s="9" t="s">
        <v>244</v>
      </c>
      <c r="B9" s="10">
        <v>46120</v>
      </c>
      <c r="C9" s="9" t="s">
        <v>228</v>
      </c>
      <c r="D9" s="9" t="s">
        <v>17</v>
      </c>
      <c r="E9" s="9" t="s">
        <v>229</v>
      </c>
      <c r="F9" s="9" t="s">
        <v>62</v>
      </c>
      <c r="G9" s="9">
        <v>250</v>
      </c>
      <c r="H9" s="9">
        <v>70</v>
      </c>
      <c r="I9" s="9">
        <v>17500</v>
      </c>
      <c r="J9" s="13"/>
      <c r="K9" s="13"/>
      <c r="L9" s="13"/>
    </row>
    <row r="10" spans="1:12">
      <c r="A10" s="9" t="s">
        <v>252</v>
      </c>
      <c r="B10" s="10">
        <v>46127</v>
      </c>
      <c r="C10" s="9" t="s">
        <v>228</v>
      </c>
      <c r="D10" s="9" t="s">
        <v>17</v>
      </c>
      <c r="E10" s="9" t="s">
        <v>229</v>
      </c>
      <c r="F10" s="9" t="s">
        <v>62</v>
      </c>
      <c r="G10" s="9">
        <v>100</v>
      </c>
      <c r="H10" s="9">
        <v>75</v>
      </c>
      <c r="I10" s="9">
        <v>7500</v>
      </c>
      <c r="J10" s="13"/>
      <c r="K10" s="13"/>
      <c r="L10" s="13"/>
    </row>
    <row r="11" spans="1:12">
      <c r="A11" s="9" t="s">
        <v>238</v>
      </c>
      <c r="B11" s="10">
        <v>46115</v>
      </c>
      <c r="C11" s="9" t="s">
        <v>239</v>
      </c>
      <c r="D11" s="9" t="s">
        <v>17</v>
      </c>
      <c r="E11" s="9" t="s">
        <v>229</v>
      </c>
      <c r="F11" s="9" t="s">
        <v>62</v>
      </c>
      <c r="G11" s="9">
        <v>300</v>
      </c>
      <c r="H11" s="9">
        <v>70</v>
      </c>
      <c r="I11" s="9">
        <v>21000</v>
      </c>
      <c r="J11" s="13"/>
      <c r="K11" s="13"/>
      <c r="L11" s="13"/>
    </row>
    <row r="12" spans="1:12">
      <c r="A12" s="9" t="s">
        <v>246</v>
      </c>
      <c r="B12" s="10">
        <v>46120</v>
      </c>
      <c r="C12" s="9" t="s">
        <v>239</v>
      </c>
      <c r="D12" s="9" t="s">
        <v>17</v>
      </c>
      <c r="E12" s="9" t="s">
        <v>229</v>
      </c>
      <c r="F12" s="9" t="s">
        <v>62</v>
      </c>
      <c r="G12" s="9">
        <v>300</v>
      </c>
      <c r="H12" s="9">
        <v>70</v>
      </c>
      <c r="I12" s="9">
        <v>21000</v>
      </c>
      <c r="J12" s="13"/>
      <c r="K12" s="13"/>
      <c r="L12" s="13"/>
    </row>
    <row r="13" spans="1:12">
      <c r="A13" s="9" t="s">
        <v>251</v>
      </c>
      <c r="B13" s="10">
        <v>46126</v>
      </c>
      <c r="C13" s="9" t="s">
        <v>239</v>
      </c>
      <c r="D13" s="9" t="s">
        <v>17</v>
      </c>
      <c r="E13" s="9" t="s">
        <v>229</v>
      </c>
      <c r="F13" s="9" t="s">
        <v>62</v>
      </c>
      <c r="G13" s="9">
        <v>500</v>
      </c>
      <c r="H13" s="9">
        <v>70</v>
      </c>
      <c r="I13" s="9">
        <v>35000</v>
      </c>
      <c r="J13" s="13"/>
      <c r="K13" s="13"/>
      <c r="L13" s="13"/>
    </row>
    <row r="14" spans="1:12">
      <c r="A14" s="9" t="s">
        <v>256</v>
      </c>
      <c r="B14" s="10">
        <v>46130</v>
      </c>
      <c r="C14" s="9" t="s">
        <v>239</v>
      </c>
      <c r="D14" s="9" t="s">
        <v>17</v>
      </c>
      <c r="E14" s="9" t="s">
        <v>229</v>
      </c>
      <c r="F14" s="9" t="s">
        <v>62</v>
      </c>
      <c r="G14" s="9">
        <v>500</v>
      </c>
      <c r="H14" s="9">
        <v>76</v>
      </c>
      <c r="I14" s="9">
        <v>38000</v>
      </c>
      <c r="J14" s="13">
        <f>SUM(G5:G14)</f>
        <v>3400</v>
      </c>
      <c r="K14" s="13"/>
      <c r="L14" s="13">
        <f>SUM(I5:I14)</f>
        <v>229000</v>
      </c>
    </row>
    <row r="15" spans="1:12">
      <c r="A15" s="9" t="s">
        <v>249</v>
      </c>
      <c r="B15" s="10">
        <v>46125</v>
      </c>
      <c r="C15" s="9" t="s">
        <v>250</v>
      </c>
      <c r="D15" s="9" t="s">
        <v>17</v>
      </c>
      <c r="E15" s="9" t="s">
        <v>148</v>
      </c>
      <c r="F15" s="9" t="s">
        <v>62</v>
      </c>
      <c r="G15" s="9">
        <v>2000</v>
      </c>
      <c r="H15" s="9">
        <v>39.5</v>
      </c>
      <c r="I15" s="9">
        <v>79000</v>
      </c>
      <c r="J15" s="13">
        <f>+G15</f>
        <v>2000</v>
      </c>
      <c r="K15" s="13"/>
      <c r="L15" s="13">
        <f>+I15</f>
        <v>79000</v>
      </c>
    </row>
    <row r="16" spans="1:12">
      <c r="A16" s="9" t="s">
        <v>261</v>
      </c>
      <c r="B16" s="10">
        <v>46133</v>
      </c>
      <c r="C16" s="9" t="s">
        <v>241</v>
      </c>
      <c r="D16" s="9" t="s">
        <v>17</v>
      </c>
      <c r="E16" s="9" t="s">
        <v>262</v>
      </c>
      <c r="F16" s="9" t="s">
        <v>62</v>
      </c>
      <c r="G16" s="9">
        <v>1000</v>
      </c>
      <c r="H16" s="9">
        <v>96</v>
      </c>
      <c r="I16" s="9">
        <v>96000</v>
      </c>
      <c r="J16" s="13"/>
      <c r="K16" s="13"/>
      <c r="L16" s="13"/>
    </row>
    <row r="17" spans="1:12">
      <c r="A17" s="9" t="s">
        <v>270</v>
      </c>
      <c r="B17" s="10">
        <v>46142</v>
      </c>
      <c r="C17" s="9" t="s">
        <v>241</v>
      </c>
      <c r="D17" s="9" t="s">
        <v>17</v>
      </c>
      <c r="E17" s="9" t="s">
        <v>262</v>
      </c>
      <c r="F17" s="9" t="s">
        <v>62</v>
      </c>
      <c r="G17" s="9">
        <v>1000</v>
      </c>
      <c r="H17" s="9">
        <v>96</v>
      </c>
      <c r="I17" s="9">
        <v>96000</v>
      </c>
      <c r="J17" s="13">
        <f>+G17+G16</f>
        <v>2000</v>
      </c>
      <c r="K17" s="13"/>
      <c r="L17" s="13">
        <f>+I17+I16</f>
        <v>192000</v>
      </c>
    </row>
    <row r="18" spans="1:12">
      <c r="A18" s="9" t="s">
        <v>249</v>
      </c>
      <c r="B18" s="10">
        <v>46125</v>
      </c>
      <c r="C18" s="9" t="s">
        <v>250</v>
      </c>
      <c r="D18" s="9" t="s">
        <v>17</v>
      </c>
      <c r="E18" s="9" t="s">
        <v>147</v>
      </c>
      <c r="F18" s="9" t="s">
        <v>62</v>
      </c>
      <c r="G18" s="9">
        <v>100</v>
      </c>
      <c r="H18" s="9">
        <v>85</v>
      </c>
      <c r="I18" s="9">
        <v>8500</v>
      </c>
      <c r="J18" s="13"/>
      <c r="K18" s="13"/>
      <c r="L18" s="13"/>
    </row>
    <row r="19" spans="1:12">
      <c r="A19" s="9" t="s">
        <v>263</v>
      </c>
      <c r="B19" s="10">
        <v>46133</v>
      </c>
      <c r="C19" s="9" t="s">
        <v>250</v>
      </c>
      <c r="D19" s="9" t="s">
        <v>17</v>
      </c>
      <c r="E19" s="9" t="s">
        <v>147</v>
      </c>
      <c r="F19" s="9" t="s">
        <v>62</v>
      </c>
      <c r="G19" s="9">
        <v>300</v>
      </c>
      <c r="H19" s="9">
        <v>85</v>
      </c>
      <c r="I19" s="9">
        <v>25500</v>
      </c>
      <c r="J19" s="13">
        <f>+G19+G18</f>
        <v>400</v>
      </c>
      <c r="K19" s="13"/>
      <c r="L19" s="13">
        <f>+I19+I18</f>
        <v>34000</v>
      </c>
    </row>
    <row r="20" spans="1:12">
      <c r="A20" s="9" t="s">
        <v>242</v>
      </c>
      <c r="B20" s="10">
        <v>46120</v>
      </c>
      <c r="C20" s="9" t="s">
        <v>243</v>
      </c>
      <c r="D20" s="9" t="s">
        <v>17</v>
      </c>
      <c r="E20" s="9" t="s">
        <v>74</v>
      </c>
      <c r="F20" s="9" t="s">
        <v>62</v>
      </c>
      <c r="G20" s="9">
        <v>250</v>
      </c>
      <c r="H20" s="9">
        <v>95</v>
      </c>
      <c r="I20" s="9">
        <v>23750</v>
      </c>
      <c r="J20" s="13"/>
      <c r="K20" s="13"/>
      <c r="L20" s="13"/>
    </row>
    <row r="21" spans="1:12">
      <c r="A21" s="9" t="s">
        <v>244</v>
      </c>
      <c r="B21" s="10">
        <v>46120</v>
      </c>
      <c r="C21" s="9" t="s">
        <v>228</v>
      </c>
      <c r="D21" s="9" t="s">
        <v>17</v>
      </c>
      <c r="E21" s="9" t="s">
        <v>74</v>
      </c>
      <c r="F21" s="9" t="s">
        <v>62</v>
      </c>
      <c r="G21" s="9">
        <v>250</v>
      </c>
      <c r="H21" s="9">
        <v>95</v>
      </c>
      <c r="I21" s="9">
        <v>23750</v>
      </c>
      <c r="J21" s="13"/>
      <c r="K21" s="13"/>
      <c r="L21" s="13"/>
    </row>
    <row r="22" spans="1:12">
      <c r="A22" s="9" t="s">
        <v>257</v>
      </c>
      <c r="B22" s="10">
        <v>46130</v>
      </c>
      <c r="C22" s="9" t="s">
        <v>258</v>
      </c>
      <c r="D22" s="9" t="s">
        <v>17</v>
      </c>
      <c r="E22" s="9" t="s">
        <v>259</v>
      </c>
      <c r="F22" s="9" t="s">
        <v>62</v>
      </c>
      <c r="G22" s="9">
        <v>500</v>
      </c>
      <c r="H22" s="9">
        <v>80</v>
      </c>
      <c r="I22" s="9">
        <v>40000</v>
      </c>
      <c r="J22" s="13">
        <f>SUM(G20:G22)</f>
        <v>1000</v>
      </c>
      <c r="K22" s="13"/>
      <c r="L22" s="13">
        <f>SUM(I20:I22)</f>
        <v>87500</v>
      </c>
    </row>
    <row r="23" spans="1:12">
      <c r="A23" s="9" t="s">
        <v>249</v>
      </c>
      <c r="B23" s="10">
        <v>46125</v>
      </c>
      <c r="C23" s="9" t="s">
        <v>250</v>
      </c>
      <c r="D23" s="9" t="s">
        <v>17</v>
      </c>
      <c r="E23" s="9" t="s">
        <v>146</v>
      </c>
      <c r="F23" s="9" t="s">
        <v>62</v>
      </c>
      <c r="G23" s="9">
        <v>200</v>
      </c>
      <c r="H23" s="9">
        <v>80</v>
      </c>
      <c r="I23" s="9">
        <v>16000</v>
      </c>
      <c r="J23" s="13"/>
      <c r="K23" s="13"/>
      <c r="L23" s="13"/>
    </row>
    <row r="24" spans="1:12">
      <c r="A24" s="9" t="s">
        <v>263</v>
      </c>
      <c r="B24" s="10">
        <v>46133</v>
      </c>
      <c r="C24" s="9" t="s">
        <v>250</v>
      </c>
      <c r="D24" s="9" t="s">
        <v>17</v>
      </c>
      <c r="E24" s="9" t="s">
        <v>146</v>
      </c>
      <c r="F24" s="9" t="s">
        <v>62</v>
      </c>
      <c r="G24" s="9">
        <v>1000</v>
      </c>
      <c r="H24" s="9">
        <v>80</v>
      </c>
      <c r="I24" s="9">
        <v>80000</v>
      </c>
      <c r="J24" s="13"/>
      <c r="K24" s="13"/>
      <c r="L24" s="13"/>
    </row>
    <row r="25" spans="1:12">
      <c r="A25" s="9" t="s">
        <v>257</v>
      </c>
      <c r="B25" s="10">
        <v>46130</v>
      </c>
      <c r="C25" s="9" t="s">
        <v>258</v>
      </c>
      <c r="D25" s="9" t="s">
        <v>17</v>
      </c>
      <c r="E25" s="9" t="s">
        <v>146</v>
      </c>
      <c r="F25" s="9" t="s">
        <v>62</v>
      </c>
      <c r="G25" s="9">
        <v>1000</v>
      </c>
      <c r="H25" s="9">
        <v>80</v>
      </c>
      <c r="I25" s="9">
        <v>80000</v>
      </c>
      <c r="J25" s="13">
        <f>+G25+G24+G23</f>
        <v>2200</v>
      </c>
      <c r="K25" s="13"/>
      <c r="L25" s="13">
        <f>+I25+I24+I23</f>
        <v>176000</v>
      </c>
    </row>
    <row r="26" spans="1:12">
      <c r="A26" s="9" t="s">
        <v>240</v>
      </c>
      <c r="B26" s="10">
        <v>46118</v>
      </c>
      <c r="C26" s="9" t="s">
        <v>241</v>
      </c>
      <c r="D26" s="9" t="s">
        <v>17</v>
      </c>
      <c r="E26" s="9" t="s">
        <v>107</v>
      </c>
      <c r="F26" s="9" t="s">
        <v>62</v>
      </c>
      <c r="G26" s="9">
        <v>1000</v>
      </c>
      <c r="H26" s="9">
        <v>73</v>
      </c>
      <c r="I26" s="9">
        <v>73000</v>
      </c>
      <c r="J26" s="13"/>
      <c r="K26" s="13"/>
      <c r="L26" s="13"/>
    </row>
    <row r="27" spans="1:12">
      <c r="A27" s="9" t="s">
        <v>242</v>
      </c>
      <c r="B27" s="10">
        <v>46120</v>
      </c>
      <c r="C27" s="9" t="s">
        <v>243</v>
      </c>
      <c r="D27" s="9" t="s">
        <v>17</v>
      </c>
      <c r="E27" s="9" t="s">
        <v>107</v>
      </c>
      <c r="F27" s="9" t="s">
        <v>62</v>
      </c>
      <c r="G27" s="9">
        <v>300</v>
      </c>
      <c r="H27" s="9">
        <v>90</v>
      </c>
      <c r="I27" s="9">
        <v>27000</v>
      </c>
      <c r="J27" s="13">
        <f>+G27+G26</f>
        <v>1300</v>
      </c>
      <c r="K27" s="13"/>
      <c r="L27" s="13">
        <f>+I27+I26</f>
        <v>100000</v>
      </c>
    </row>
    <row r="28" spans="1:12">
      <c r="A28" s="9" t="s">
        <v>249</v>
      </c>
      <c r="B28" s="10">
        <v>46125</v>
      </c>
      <c r="C28" s="9" t="s">
        <v>250</v>
      </c>
      <c r="D28" s="9" t="s">
        <v>17</v>
      </c>
      <c r="E28" s="9" t="s">
        <v>245</v>
      </c>
      <c r="F28" s="9" t="s">
        <v>62</v>
      </c>
      <c r="G28" s="9">
        <v>300</v>
      </c>
      <c r="H28" s="9">
        <v>80</v>
      </c>
      <c r="I28" s="9">
        <v>24000</v>
      </c>
      <c r="J28" s="13"/>
      <c r="K28" s="13"/>
      <c r="L28" s="13"/>
    </row>
    <row r="29" spans="1:12">
      <c r="A29" s="9" t="s">
        <v>257</v>
      </c>
      <c r="B29" s="10">
        <v>46130</v>
      </c>
      <c r="C29" s="9" t="s">
        <v>258</v>
      </c>
      <c r="D29" s="9" t="s">
        <v>17</v>
      </c>
      <c r="E29" s="9" t="s">
        <v>245</v>
      </c>
      <c r="F29" s="9" t="s">
        <v>62</v>
      </c>
      <c r="G29" s="9">
        <v>500</v>
      </c>
      <c r="H29" s="9">
        <v>81</v>
      </c>
      <c r="I29" s="9">
        <v>40500</v>
      </c>
      <c r="J29" s="13"/>
      <c r="K29" s="13"/>
      <c r="L29" s="13"/>
    </row>
    <row r="30" spans="1:12">
      <c r="A30" s="9" t="s">
        <v>244</v>
      </c>
      <c r="B30" s="10">
        <v>46120</v>
      </c>
      <c r="C30" s="9" t="s">
        <v>228</v>
      </c>
      <c r="D30" s="9" t="s">
        <v>17</v>
      </c>
      <c r="E30" s="9" t="s">
        <v>245</v>
      </c>
      <c r="F30" s="9" t="s">
        <v>62</v>
      </c>
      <c r="G30" s="9">
        <v>300</v>
      </c>
      <c r="H30" s="9">
        <v>100</v>
      </c>
      <c r="I30" s="9">
        <v>30000</v>
      </c>
      <c r="J30" s="13">
        <f>+G30+G29+G28</f>
        <v>1100</v>
      </c>
      <c r="K30" s="13"/>
      <c r="L30" s="13">
        <f>+I30+I29+I28</f>
        <v>94500</v>
      </c>
    </row>
    <row r="31" spans="1:12">
      <c r="A31" s="9" t="s">
        <v>260</v>
      </c>
      <c r="B31" s="10">
        <v>46130</v>
      </c>
      <c r="C31" s="9" t="s">
        <v>250</v>
      </c>
      <c r="D31" s="9" t="s">
        <v>17</v>
      </c>
      <c r="E31" s="9" t="s">
        <v>108</v>
      </c>
      <c r="F31" s="9" t="s">
        <v>62</v>
      </c>
      <c r="G31" s="9">
        <v>100</v>
      </c>
      <c r="H31" s="9">
        <v>288</v>
      </c>
      <c r="I31" s="9">
        <v>28800</v>
      </c>
      <c r="J31" s="13"/>
      <c r="K31" s="13"/>
      <c r="L31" s="13"/>
    </row>
    <row r="32" spans="1:12">
      <c r="A32" s="9" t="s">
        <v>264</v>
      </c>
      <c r="B32" s="10">
        <v>46133</v>
      </c>
      <c r="C32" s="9" t="s">
        <v>250</v>
      </c>
      <c r="D32" s="9" t="s">
        <v>17</v>
      </c>
      <c r="E32" s="9" t="s">
        <v>108</v>
      </c>
      <c r="F32" s="9" t="s">
        <v>62</v>
      </c>
      <c r="G32" s="9">
        <v>50</v>
      </c>
      <c r="H32" s="9">
        <v>283</v>
      </c>
      <c r="I32" s="9">
        <v>14150</v>
      </c>
      <c r="J32" s="13"/>
      <c r="K32" s="13"/>
      <c r="L32" s="13"/>
    </row>
    <row r="33" spans="1:12">
      <c r="A33" s="9" t="s">
        <v>265</v>
      </c>
      <c r="B33" s="10">
        <v>46135</v>
      </c>
      <c r="C33" s="9" t="s">
        <v>250</v>
      </c>
      <c r="D33" s="9" t="s">
        <v>17</v>
      </c>
      <c r="E33" s="9" t="s">
        <v>108</v>
      </c>
      <c r="F33" s="9" t="s">
        <v>62</v>
      </c>
      <c r="G33" s="9">
        <v>200</v>
      </c>
      <c r="H33" s="9">
        <v>283</v>
      </c>
      <c r="I33" s="9">
        <v>56600</v>
      </c>
      <c r="J33" s="13"/>
      <c r="K33" s="13"/>
      <c r="L33" s="13"/>
    </row>
    <row r="34" spans="1:12">
      <c r="A34" s="9" t="s">
        <v>267</v>
      </c>
      <c r="B34" s="10">
        <v>46139</v>
      </c>
      <c r="C34" s="9" t="s">
        <v>250</v>
      </c>
      <c r="D34" s="9" t="s">
        <v>17</v>
      </c>
      <c r="E34" s="9" t="s">
        <v>108</v>
      </c>
      <c r="F34" s="9" t="s">
        <v>62</v>
      </c>
      <c r="G34" s="9">
        <v>200</v>
      </c>
      <c r="H34" s="9">
        <v>283</v>
      </c>
      <c r="I34" s="9">
        <v>56600</v>
      </c>
      <c r="J34" s="13"/>
      <c r="K34" s="13"/>
      <c r="L34" s="13"/>
    </row>
    <row r="35" spans="1:12">
      <c r="A35" s="9" t="s">
        <v>227</v>
      </c>
      <c r="B35" s="10">
        <v>46114</v>
      </c>
      <c r="C35" s="9" t="s">
        <v>228</v>
      </c>
      <c r="D35" s="9" t="s">
        <v>17</v>
      </c>
      <c r="E35" s="9" t="s">
        <v>108</v>
      </c>
      <c r="F35" s="9" t="s">
        <v>62</v>
      </c>
      <c r="G35" s="9">
        <v>100</v>
      </c>
      <c r="H35" s="9">
        <v>250</v>
      </c>
      <c r="I35" s="9">
        <v>25000</v>
      </c>
      <c r="J35" s="13"/>
      <c r="K35" s="13"/>
      <c r="L35" s="13"/>
    </row>
    <row r="36" spans="1:12">
      <c r="A36" s="9" t="s">
        <v>252</v>
      </c>
      <c r="B36" s="10">
        <v>46127</v>
      </c>
      <c r="C36" s="9" t="s">
        <v>228</v>
      </c>
      <c r="D36" s="9" t="s">
        <v>17</v>
      </c>
      <c r="E36" s="9" t="s">
        <v>108</v>
      </c>
      <c r="F36" s="9" t="s">
        <v>62</v>
      </c>
      <c r="G36" s="9">
        <v>100</v>
      </c>
      <c r="H36" s="9">
        <v>275</v>
      </c>
      <c r="I36" s="9">
        <v>27500</v>
      </c>
      <c r="J36" s="13">
        <f>SUM(G31:G36)</f>
        <v>750</v>
      </c>
      <c r="K36" s="13"/>
      <c r="L36" s="13">
        <f>SUM(I31:I36)</f>
        <v>208650</v>
      </c>
    </row>
    <row r="37" spans="1:12">
      <c r="A37" s="9" t="s">
        <v>230</v>
      </c>
      <c r="B37" s="10">
        <v>46114</v>
      </c>
      <c r="C37" s="9" t="s">
        <v>231</v>
      </c>
      <c r="D37" s="9" t="s">
        <v>17</v>
      </c>
      <c r="E37" s="9" t="s">
        <v>109</v>
      </c>
      <c r="F37" s="9" t="s">
        <v>62</v>
      </c>
      <c r="G37" s="9">
        <v>100</v>
      </c>
      <c r="H37" s="9">
        <v>400</v>
      </c>
      <c r="I37" s="9">
        <v>40000</v>
      </c>
      <c r="J37" s="13"/>
      <c r="K37" s="13"/>
      <c r="L37" s="13"/>
    </row>
    <row r="38" spans="1:12">
      <c r="A38" s="9" t="s">
        <v>247</v>
      </c>
      <c r="B38" s="10">
        <v>46121</v>
      </c>
      <c r="C38" s="9" t="s">
        <v>231</v>
      </c>
      <c r="D38" s="9" t="s">
        <v>17</v>
      </c>
      <c r="E38" s="9" t="s">
        <v>109</v>
      </c>
      <c r="F38" s="9" t="s">
        <v>62</v>
      </c>
      <c r="G38" s="9">
        <v>100</v>
      </c>
      <c r="H38" s="9">
        <v>400</v>
      </c>
      <c r="I38" s="9">
        <v>40000</v>
      </c>
      <c r="J38" s="13">
        <f>+G37+G38</f>
        <v>200</v>
      </c>
      <c r="K38" s="13"/>
      <c r="L38" s="13">
        <f>+I37+I38</f>
        <v>80000</v>
      </c>
    </row>
    <row r="39" spans="1:12">
      <c r="A39" s="9" t="s">
        <v>235</v>
      </c>
      <c r="B39" s="10">
        <v>46114</v>
      </c>
      <c r="C39" s="9" t="s">
        <v>236</v>
      </c>
      <c r="D39" s="9" t="s">
        <v>17</v>
      </c>
      <c r="E39" s="9" t="s">
        <v>110</v>
      </c>
      <c r="F39" s="9" t="s">
        <v>62</v>
      </c>
      <c r="G39" s="9">
        <v>100</v>
      </c>
      <c r="H39" s="9">
        <v>380</v>
      </c>
      <c r="I39" s="9">
        <v>38000</v>
      </c>
      <c r="J39" s="13"/>
      <c r="K39" s="13"/>
      <c r="L39" s="13"/>
    </row>
    <row r="40" spans="1:12">
      <c r="A40" s="9" t="s">
        <v>248</v>
      </c>
      <c r="B40" s="10">
        <v>46121</v>
      </c>
      <c r="C40" s="9" t="s">
        <v>236</v>
      </c>
      <c r="D40" s="9" t="s">
        <v>17</v>
      </c>
      <c r="E40" s="9" t="s">
        <v>110</v>
      </c>
      <c r="F40" s="9" t="s">
        <v>62</v>
      </c>
      <c r="G40" s="9">
        <v>100</v>
      </c>
      <c r="H40" s="9">
        <v>380</v>
      </c>
      <c r="I40" s="9">
        <v>38000</v>
      </c>
      <c r="J40" s="13"/>
      <c r="K40" s="13"/>
      <c r="L40" s="13"/>
    </row>
    <row r="41" spans="1:12">
      <c r="A41" s="9" t="s">
        <v>269</v>
      </c>
      <c r="B41" s="10">
        <v>46141</v>
      </c>
      <c r="C41" s="9" t="s">
        <v>236</v>
      </c>
      <c r="D41" s="9" t="s">
        <v>17</v>
      </c>
      <c r="E41" s="9" t="s">
        <v>110</v>
      </c>
      <c r="F41" s="9" t="s">
        <v>62</v>
      </c>
      <c r="G41" s="9">
        <v>100</v>
      </c>
      <c r="H41" s="9">
        <v>386.06</v>
      </c>
      <c r="I41" s="9">
        <v>38606</v>
      </c>
      <c r="J41" s="13">
        <f>SUM(G39:G41)</f>
        <v>300</v>
      </c>
      <c r="K41" s="13"/>
      <c r="L41" s="13">
        <f>SUM(I39:I41)</f>
        <v>114606</v>
      </c>
    </row>
    <row r="42" spans="1:12">
      <c r="A42" s="9" t="s">
        <v>269</v>
      </c>
      <c r="B42" s="10">
        <v>46141</v>
      </c>
      <c r="C42" s="9" t="s">
        <v>236</v>
      </c>
      <c r="D42" s="9" t="s">
        <v>17</v>
      </c>
      <c r="E42" s="9" t="s">
        <v>88</v>
      </c>
      <c r="F42" s="9" t="s">
        <v>62</v>
      </c>
      <c r="G42" s="9">
        <v>50</v>
      </c>
      <c r="H42" s="9">
        <v>281.3</v>
      </c>
      <c r="I42" s="9">
        <v>14065</v>
      </c>
      <c r="J42" s="13">
        <f>+G42</f>
        <v>50</v>
      </c>
      <c r="K42" s="13">
        <f t="shared" ref="K42:K43" si="0">+H42</f>
        <v>281.3</v>
      </c>
      <c r="L42" s="13">
        <f t="shared" ref="L42:L43" si="1">+I42</f>
        <v>14065</v>
      </c>
    </row>
    <row r="43" spans="1:12">
      <c r="A43" s="9" t="s">
        <v>233</v>
      </c>
      <c r="B43" s="10">
        <v>46114</v>
      </c>
      <c r="C43" s="9" t="s">
        <v>234</v>
      </c>
      <c r="D43" s="9" t="s">
        <v>17</v>
      </c>
      <c r="E43" s="9" t="s">
        <v>63</v>
      </c>
      <c r="F43" s="9" t="s">
        <v>62</v>
      </c>
      <c r="G43" s="9">
        <v>500</v>
      </c>
      <c r="H43" s="9">
        <v>40</v>
      </c>
      <c r="I43" s="9">
        <v>20000</v>
      </c>
      <c r="J43" s="13">
        <f t="shared" ref="J43" si="2">+G43</f>
        <v>500</v>
      </c>
      <c r="K43" s="13">
        <f t="shared" si="0"/>
        <v>40</v>
      </c>
      <c r="L43" s="13">
        <f t="shared" si="1"/>
        <v>20000</v>
      </c>
    </row>
    <row r="44" spans="1:12">
      <c r="A44" s="9" t="s">
        <v>235</v>
      </c>
      <c r="B44" s="10">
        <v>46114</v>
      </c>
      <c r="C44" s="9" t="s">
        <v>236</v>
      </c>
      <c r="D44" s="9" t="s">
        <v>17</v>
      </c>
      <c r="E44" s="9" t="s">
        <v>237</v>
      </c>
      <c r="F44" s="9" t="s">
        <v>62</v>
      </c>
      <c r="G44" s="9">
        <v>500</v>
      </c>
      <c r="H44" s="9">
        <v>190</v>
      </c>
      <c r="I44" s="9">
        <v>95000</v>
      </c>
      <c r="J44" s="13"/>
      <c r="K44" s="13"/>
      <c r="L44" s="13"/>
    </row>
    <row r="45" spans="1:12">
      <c r="A45" s="9" t="s">
        <v>266</v>
      </c>
      <c r="B45" s="10">
        <v>46136</v>
      </c>
      <c r="C45" s="9" t="s">
        <v>236</v>
      </c>
      <c r="D45" s="9" t="s">
        <v>17</v>
      </c>
      <c r="E45" s="9" t="s">
        <v>237</v>
      </c>
      <c r="F45" s="9" t="s">
        <v>62</v>
      </c>
      <c r="G45" s="9">
        <v>100</v>
      </c>
      <c r="H45" s="9">
        <v>190</v>
      </c>
      <c r="I45" s="9">
        <v>19000</v>
      </c>
      <c r="J45" s="13"/>
      <c r="K45" s="13"/>
      <c r="L45" s="13"/>
    </row>
    <row r="46" spans="1:12">
      <c r="A46" s="9" t="s">
        <v>268</v>
      </c>
      <c r="B46" s="10">
        <v>46139</v>
      </c>
      <c r="C46" s="9" t="s">
        <v>236</v>
      </c>
      <c r="D46" s="9" t="s">
        <v>17</v>
      </c>
      <c r="E46" s="9" t="s">
        <v>237</v>
      </c>
      <c r="F46" s="9" t="s">
        <v>62</v>
      </c>
      <c r="G46" s="9">
        <v>100</v>
      </c>
      <c r="H46" s="9">
        <v>190</v>
      </c>
      <c r="I46" s="9">
        <v>19000</v>
      </c>
      <c r="J46" s="13"/>
      <c r="K46" s="13"/>
      <c r="L46" s="13"/>
    </row>
    <row r="47" spans="1:12">
      <c r="A47" s="9" t="s">
        <v>255</v>
      </c>
      <c r="B47" s="10">
        <v>46128</v>
      </c>
      <c r="C47" s="9" t="s">
        <v>241</v>
      </c>
      <c r="D47" s="9" t="s">
        <v>17</v>
      </c>
      <c r="E47" s="9" t="s">
        <v>237</v>
      </c>
      <c r="F47" s="9" t="s">
        <v>62</v>
      </c>
      <c r="G47" s="9">
        <v>100</v>
      </c>
      <c r="H47" s="9">
        <v>195</v>
      </c>
      <c r="I47" s="9">
        <v>19500</v>
      </c>
      <c r="J47" s="13">
        <f>SUM(G44:G47)</f>
        <v>800</v>
      </c>
      <c r="K47" s="13"/>
      <c r="L47" s="13">
        <f>SUM(I44:I47)</f>
        <v>152500</v>
      </c>
    </row>
    <row r="48" spans="1:12">
      <c r="A48" s="9" t="s">
        <v>230</v>
      </c>
      <c r="B48" s="10">
        <v>46114</v>
      </c>
      <c r="C48" s="9" t="s">
        <v>231</v>
      </c>
      <c r="D48" s="9" t="s">
        <v>17</v>
      </c>
      <c r="E48" s="9" t="s">
        <v>232</v>
      </c>
      <c r="F48" s="9" t="s">
        <v>62</v>
      </c>
      <c r="G48" s="9">
        <v>200</v>
      </c>
      <c r="H48" s="9">
        <v>195</v>
      </c>
      <c r="I48" s="9">
        <v>39000</v>
      </c>
      <c r="J48" s="13">
        <f>+G48</f>
        <v>200</v>
      </c>
      <c r="K48" s="13"/>
      <c r="L48" s="13">
        <f>+I48</f>
        <v>39000</v>
      </c>
    </row>
    <row r="49" spans="1:12" ht="15.5">
      <c r="A49" s="8"/>
      <c r="B49" s="8"/>
      <c r="C49" s="8"/>
      <c r="D49" s="8"/>
      <c r="E49" s="15" t="s">
        <v>304</v>
      </c>
      <c r="F49" s="15"/>
      <c r="G49" s="15">
        <f>SUM(G5:G48)</f>
        <v>16200</v>
      </c>
      <c r="H49" s="15"/>
      <c r="I49" s="15">
        <f>SUM(I5:I48)</f>
        <v>1620821</v>
      </c>
      <c r="J49" s="15">
        <f>SUM(J5:J48)</f>
        <v>16200</v>
      </c>
      <c r="K49" s="15">
        <v>7573.8600000000006</v>
      </c>
      <c r="L49" s="15">
        <f>SUM(L5:L48)</f>
        <v>1620821</v>
      </c>
    </row>
  </sheetData>
  <mergeCells count="2">
    <mergeCell ref="A3:I3"/>
    <mergeCell ref="A2:I2"/>
  </mergeCells>
  <pageMargins left="0.43" right="0.1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4"/>
  <sheetViews>
    <sheetView workbookViewId="0">
      <selection activeCell="A9" sqref="A9:I21"/>
    </sheetView>
  </sheetViews>
  <sheetFormatPr defaultRowHeight="14.5"/>
  <cols>
    <col min="1" max="1" width="11.7265625" customWidth="1"/>
    <col min="2" max="2" width="14.453125" customWidth="1"/>
    <col min="3" max="3" width="27.54296875" customWidth="1"/>
    <col min="4" max="4" width="17.7265625" bestFit="1" customWidth="1"/>
    <col min="5" max="5" width="40.54296875" bestFit="1" customWidth="1"/>
    <col min="6" max="6" width="5.7265625" bestFit="1" customWidth="1"/>
    <col min="7" max="7" width="6" bestFit="1" customWidth="1"/>
    <col min="8" max="8" width="8" bestFit="1" customWidth="1"/>
    <col min="9" max="9" width="11" bestFit="1" customWidth="1"/>
    <col min="10" max="11" width="27.54296875" customWidth="1"/>
  </cols>
  <sheetData>
    <row r="1" spans="1:10">
      <c r="A1" s="11"/>
      <c r="B1" s="11" t="s">
        <v>271</v>
      </c>
      <c r="C1" s="11"/>
      <c r="E1" s="11"/>
      <c r="F1" s="11"/>
      <c r="G1" s="11"/>
      <c r="H1" s="11"/>
      <c r="I1" s="11"/>
    </row>
    <row r="2" spans="1:10">
      <c r="A2" s="11"/>
      <c r="B2" s="11" t="s">
        <v>272</v>
      </c>
      <c r="C2" s="11"/>
      <c r="E2" s="11"/>
      <c r="F2" s="11"/>
      <c r="G2" s="11"/>
      <c r="H2" s="11"/>
      <c r="I2" s="11"/>
    </row>
    <row r="3" spans="1:10">
      <c r="A3" s="11"/>
      <c r="B3" s="11" t="s">
        <v>273</v>
      </c>
      <c r="C3" s="11"/>
      <c r="E3" s="11"/>
      <c r="F3" s="11"/>
      <c r="G3" s="11"/>
      <c r="H3" s="11"/>
      <c r="I3" s="11"/>
    </row>
    <row r="4" spans="1:10">
      <c r="A4" s="11"/>
      <c r="B4" s="11" t="s">
        <v>3</v>
      </c>
      <c r="C4" s="11"/>
      <c r="E4" s="11"/>
      <c r="F4" s="11"/>
      <c r="G4" s="11"/>
      <c r="H4" s="11"/>
      <c r="I4" s="11"/>
    </row>
    <row r="6" spans="1:10">
      <c r="A6" s="11"/>
      <c r="B6" s="11" t="s">
        <v>4</v>
      </c>
      <c r="C6" s="11"/>
      <c r="E6" s="11"/>
      <c r="F6" s="11"/>
      <c r="G6" s="11"/>
      <c r="H6" s="11"/>
      <c r="I6" s="11"/>
    </row>
    <row r="7" spans="1:10">
      <c r="A7" s="11"/>
      <c r="B7" s="11" t="s">
        <v>5</v>
      </c>
      <c r="C7" s="11"/>
      <c r="E7" s="11"/>
      <c r="F7" s="11"/>
      <c r="G7" s="11"/>
      <c r="H7" s="11"/>
      <c r="I7" s="11"/>
    </row>
    <row r="8" spans="1:10" s="2" customFormat="1">
      <c r="A8" s="12" t="s">
        <v>6</v>
      </c>
      <c r="B8" s="12" t="s">
        <v>7</v>
      </c>
      <c r="C8" s="12" t="s">
        <v>10</v>
      </c>
      <c r="D8" s="12" t="s">
        <v>12</v>
      </c>
      <c r="E8" s="12" t="s">
        <v>11</v>
      </c>
      <c r="F8" s="12" t="s">
        <v>9</v>
      </c>
      <c r="G8" s="12" t="s">
        <v>13</v>
      </c>
      <c r="H8" s="12" t="s">
        <v>14</v>
      </c>
      <c r="I8" s="12" t="s">
        <v>8</v>
      </c>
    </row>
    <row r="9" spans="1:10">
      <c r="A9" s="13" t="s">
        <v>278</v>
      </c>
      <c r="B9" s="14">
        <v>46120</v>
      </c>
      <c r="C9" s="13" t="s">
        <v>305</v>
      </c>
      <c r="D9" s="13" t="s">
        <v>17</v>
      </c>
      <c r="E9" s="13" t="s">
        <v>306</v>
      </c>
      <c r="F9" s="13" t="s">
        <v>15</v>
      </c>
      <c r="G9" s="13">
        <v>26</v>
      </c>
      <c r="H9" s="13">
        <v>157.15</v>
      </c>
      <c r="I9" s="13">
        <v>4085.9</v>
      </c>
      <c r="J9" t="s">
        <v>321</v>
      </c>
    </row>
    <row r="10" spans="1:10">
      <c r="A10" s="13" t="s">
        <v>279</v>
      </c>
      <c r="B10" s="14">
        <v>46121</v>
      </c>
      <c r="C10" s="13" t="s">
        <v>307</v>
      </c>
      <c r="D10" s="13" t="s">
        <v>17</v>
      </c>
      <c r="E10" s="13" t="s">
        <v>308</v>
      </c>
      <c r="F10" s="13" t="s">
        <v>15</v>
      </c>
      <c r="G10" s="13">
        <v>5</v>
      </c>
      <c r="H10" s="13">
        <v>182.8</v>
      </c>
      <c r="I10" s="13">
        <v>914</v>
      </c>
      <c r="J10" s="11" t="s">
        <v>321</v>
      </c>
    </row>
    <row r="11" spans="1:10">
      <c r="A11" s="13" t="s">
        <v>280</v>
      </c>
      <c r="B11" s="14">
        <v>46121</v>
      </c>
      <c r="C11" s="13" t="s">
        <v>309</v>
      </c>
      <c r="D11" s="13" t="s">
        <v>17</v>
      </c>
      <c r="E11" s="13" t="s">
        <v>318</v>
      </c>
      <c r="F11" s="13" t="s">
        <v>15</v>
      </c>
      <c r="G11" s="13">
        <v>10</v>
      </c>
      <c r="H11" s="13">
        <v>171.4</v>
      </c>
      <c r="I11" s="13">
        <v>1714</v>
      </c>
      <c r="J11" s="11" t="s">
        <v>321</v>
      </c>
    </row>
    <row r="12" spans="1:10">
      <c r="A12" s="13" t="s">
        <v>281</v>
      </c>
      <c r="B12" s="14">
        <v>46125</v>
      </c>
      <c r="C12" s="13" t="s">
        <v>310</v>
      </c>
      <c r="D12" s="13" t="s">
        <v>17</v>
      </c>
      <c r="E12" s="13" t="s">
        <v>308</v>
      </c>
      <c r="F12" s="13" t="s">
        <v>15</v>
      </c>
      <c r="G12" s="13">
        <v>20</v>
      </c>
      <c r="H12" s="13">
        <f>+I12/G12</f>
        <v>177</v>
      </c>
      <c r="I12" s="13">
        <v>3540</v>
      </c>
      <c r="J12" s="11" t="s">
        <v>321</v>
      </c>
    </row>
    <row r="13" spans="1:10">
      <c r="A13" s="13" t="s">
        <v>286</v>
      </c>
      <c r="B13" s="14">
        <v>46126</v>
      </c>
      <c r="C13" s="13" t="s">
        <v>311</v>
      </c>
      <c r="D13" s="13" t="s">
        <v>17</v>
      </c>
      <c r="E13" s="13" t="s">
        <v>319</v>
      </c>
      <c r="F13" s="13" t="s">
        <v>15</v>
      </c>
      <c r="G13" s="13">
        <v>50</v>
      </c>
      <c r="H13" s="13">
        <f>+I13/G13</f>
        <v>136.80000000000001</v>
      </c>
      <c r="I13" s="13">
        <v>6840</v>
      </c>
      <c r="J13" s="11" t="s">
        <v>321</v>
      </c>
    </row>
    <row r="14" spans="1:10">
      <c r="A14" s="13" t="s">
        <v>292</v>
      </c>
      <c r="B14" s="14">
        <v>46132</v>
      </c>
      <c r="C14" s="13" t="s">
        <v>312</v>
      </c>
      <c r="D14" s="13" t="s">
        <v>17</v>
      </c>
      <c r="E14" s="13" t="s">
        <v>320</v>
      </c>
      <c r="F14" s="13" t="s">
        <v>15</v>
      </c>
      <c r="G14" s="13">
        <v>26</v>
      </c>
      <c r="H14" s="13">
        <v>180.9</v>
      </c>
      <c r="I14" s="13">
        <v>4703.3999999999996</v>
      </c>
      <c r="J14" s="11" t="s">
        <v>321</v>
      </c>
    </row>
    <row r="15" spans="1:10">
      <c r="A15" s="13" t="s">
        <v>293</v>
      </c>
      <c r="B15" s="14">
        <v>46134</v>
      </c>
      <c r="C15" s="13" t="s">
        <v>313</v>
      </c>
      <c r="D15" s="13" t="s">
        <v>17</v>
      </c>
      <c r="E15" s="13" t="s">
        <v>322</v>
      </c>
      <c r="F15" s="13" t="s">
        <v>15</v>
      </c>
      <c r="G15" s="13">
        <v>5</v>
      </c>
      <c r="H15" s="13">
        <v>128.57</v>
      </c>
      <c r="I15" s="13">
        <v>642.87</v>
      </c>
      <c r="J15" s="11" t="s">
        <v>321</v>
      </c>
    </row>
    <row r="16" spans="1:10">
      <c r="A16" s="13" t="s">
        <v>294</v>
      </c>
      <c r="B16" s="14">
        <v>46134</v>
      </c>
      <c r="C16" s="13" t="s">
        <v>314</v>
      </c>
      <c r="D16" s="13" t="s">
        <v>17</v>
      </c>
      <c r="E16" s="13" t="s">
        <v>306</v>
      </c>
      <c r="F16" s="13" t="s">
        <v>15</v>
      </c>
      <c r="G16" s="13">
        <v>26</v>
      </c>
      <c r="H16" s="13">
        <v>133.34</v>
      </c>
      <c r="I16" s="13">
        <v>3466.74</v>
      </c>
      <c r="J16" s="11" t="s">
        <v>321</v>
      </c>
    </row>
    <row r="17" spans="1:10">
      <c r="A17" s="13" t="s">
        <v>295</v>
      </c>
      <c r="B17" s="14">
        <v>46134</v>
      </c>
      <c r="C17" s="13" t="s">
        <v>315</v>
      </c>
      <c r="D17" s="13" t="s">
        <v>17</v>
      </c>
      <c r="E17" s="13" t="s">
        <v>306</v>
      </c>
      <c r="F17" s="13" t="s">
        <v>15</v>
      </c>
      <c r="G17" s="13">
        <v>10</v>
      </c>
      <c r="H17" s="13">
        <v>138.1</v>
      </c>
      <c r="I17" s="13">
        <v>1380.98</v>
      </c>
      <c r="J17" s="11" t="s">
        <v>321</v>
      </c>
    </row>
    <row r="18" spans="1:10">
      <c r="A18" s="13" t="s">
        <v>296</v>
      </c>
      <c r="B18" s="14">
        <v>46136</v>
      </c>
      <c r="C18" s="13" t="s">
        <v>316</v>
      </c>
      <c r="D18" s="13" t="s">
        <v>17</v>
      </c>
      <c r="E18" s="13" t="s">
        <v>323</v>
      </c>
      <c r="F18" s="13" t="s">
        <v>15</v>
      </c>
      <c r="G18" s="13">
        <v>2</v>
      </c>
      <c r="H18" s="13">
        <v>366.68</v>
      </c>
      <c r="I18" s="13">
        <v>733.35</v>
      </c>
      <c r="J18" s="11" t="s">
        <v>321</v>
      </c>
    </row>
    <row r="19" spans="1:10">
      <c r="A19" s="13" t="s">
        <v>297</v>
      </c>
      <c r="B19" s="14">
        <v>46136</v>
      </c>
      <c r="C19" s="13" t="s">
        <v>317</v>
      </c>
      <c r="D19" s="13" t="s">
        <v>17</v>
      </c>
      <c r="E19" s="13" t="s">
        <v>325</v>
      </c>
      <c r="F19" s="13" t="s">
        <v>15</v>
      </c>
      <c r="G19" s="13">
        <v>26</v>
      </c>
      <c r="H19" s="13">
        <v>133.34</v>
      </c>
      <c r="I19" s="13">
        <v>3466.74</v>
      </c>
      <c r="J19" s="11" t="s">
        <v>321</v>
      </c>
    </row>
    <row r="20" spans="1:10">
      <c r="A20" s="13" t="s">
        <v>287</v>
      </c>
      <c r="B20" s="14">
        <v>46130</v>
      </c>
      <c r="C20" s="13" t="s">
        <v>288</v>
      </c>
      <c r="D20" s="13" t="s">
        <v>17</v>
      </c>
      <c r="E20" s="13" t="s">
        <v>324</v>
      </c>
      <c r="F20" s="13" t="s">
        <v>15</v>
      </c>
      <c r="G20" s="13">
        <v>26</v>
      </c>
      <c r="H20" s="13">
        <v>190</v>
      </c>
      <c r="I20" s="13">
        <v>4940</v>
      </c>
      <c r="J20" s="11" t="s">
        <v>321</v>
      </c>
    </row>
    <row r="21" spans="1:10">
      <c r="A21" s="13" t="s">
        <v>282</v>
      </c>
      <c r="B21" s="14">
        <v>46125</v>
      </c>
      <c r="C21" s="13" t="s">
        <v>283</v>
      </c>
      <c r="D21" s="13" t="s">
        <v>17</v>
      </c>
      <c r="E21" s="13" t="s">
        <v>318</v>
      </c>
      <c r="F21" s="13" t="s">
        <v>15</v>
      </c>
      <c r="G21" s="13">
        <v>210</v>
      </c>
      <c r="H21" s="13">
        <f>+I21/G21</f>
        <v>152.38095238095238</v>
      </c>
      <c r="I21" s="13">
        <v>32000</v>
      </c>
      <c r="J21" s="11" t="s">
        <v>321</v>
      </c>
    </row>
    <row r="22" spans="1:10">
      <c r="A22" s="13" t="s">
        <v>274</v>
      </c>
      <c r="B22" s="14">
        <v>46115</v>
      </c>
      <c r="C22" s="13" t="s">
        <v>275</v>
      </c>
      <c r="D22" s="13" t="s">
        <v>17</v>
      </c>
      <c r="E22" s="13" t="s">
        <v>101</v>
      </c>
      <c r="F22" s="13" t="s">
        <v>62</v>
      </c>
      <c r="G22" s="13">
        <v>1000</v>
      </c>
      <c r="H22" s="13">
        <v>75</v>
      </c>
      <c r="I22" s="13">
        <v>75000</v>
      </c>
    </row>
    <row r="23" spans="1:10">
      <c r="A23" s="13" t="s">
        <v>274</v>
      </c>
      <c r="B23" s="14">
        <v>46115</v>
      </c>
      <c r="C23" s="13" t="s">
        <v>275</v>
      </c>
      <c r="D23" s="13" t="s">
        <v>17</v>
      </c>
      <c r="E23" s="13" t="s">
        <v>101</v>
      </c>
      <c r="F23" s="13" t="s">
        <v>62</v>
      </c>
      <c r="G23" s="13">
        <v>100</v>
      </c>
      <c r="H23" s="13">
        <v>75</v>
      </c>
      <c r="I23" s="13">
        <v>7500</v>
      </c>
    </row>
    <row r="24" spans="1:10">
      <c r="A24" s="13" t="s">
        <v>274</v>
      </c>
      <c r="B24" s="14">
        <v>46115</v>
      </c>
      <c r="C24" s="13" t="s">
        <v>275</v>
      </c>
      <c r="D24" s="13" t="s">
        <v>17</v>
      </c>
      <c r="E24" s="13" t="s">
        <v>63</v>
      </c>
      <c r="F24" s="13" t="s">
        <v>62</v>
      </c>
      <c r="G24" s="13">
        <v>100</v>
      </c>
      <c r="H24" s="13">
        <v>35</v>
      </c>
      <c r="I24" s="13">
        <v>3500</v>
      </c>
    </row>
    <row r="25" spans="1:10">
      <c r="A25" s="13" t="s">
        <v>274</v>
      </c>
      <c r="B25" s="14">
        <v>46115</v>
      </c>
      <c r="C25" s="13" t="s">
        <v>275</v>
      </c>
      <c r="D25" s="13" t="s">
        <v>17</v>
      </c>
      <c r="E25" s="13" t="s">
        <v>63</v>
      </c>
      <c r="F25" s="13" t="s">
        <v>62</v>
      </c>
      <c r="G25" s="13">
        <v>1000</v>
      </c>
      <c r="H25" s="13">
        <v>35</v>
      </c>
      <c r="I25" s="13">
        <v>35000</v>
      </c>
    </row>
    <row r="26" spans="1:10">
      <c r="A26" s="13" t="s">
        <v>276</v>
      </c>
      <c r="B26" s="14">
        <v>46116</v>
      </c>
      <c r="C26" s="13" t="s">
        <v>275</v>
      </c>
      <c r="D26" s="13" t="s">
        <v>17</v>
      </c>
      <c r="E26" s="13" t="s">
        <v>204</v>
      </c>
      <c r="F26" s="13" t="s">
        <v>62</v>
      </c>
      <c r="G26" s="13">
        <v>500</v>
      </c>
      <c r="H26" s="13">
        <v>95</v>
      </c>
      <c r="I26" s="13">
        <v>47500</v>
      </c>
    </row>
    <row r="27" spans="1:10">
      <c r="A27" s="13" t="s">
        <v>276</v>
      </c>
      <c r="B27" s="14">
        <v>46116</v>
      </c>
      <c r="C27" s="13" t="s">
        <v>275</v>
      </c>
      <c r="D27" s="13" t="s">
        <v>17</v>
      </c>
      <c r="E27" s="13" t="s">
        <v>277</v>
      </c>
      <c r="F27" s="13" t="s">
        <v>62</v>
      </c>
      <c r="G27" s="13">
        <v>500</v>
      </c>
      <c r="H27" s="13">
        <v>75</v>
      </c>
      <c r="I27" s="13">
        <v>37500</v>
      </c>
    </row>
    <row r="28" spans="1:10">
      <c r="A28" s="13" t="s">
        <v>284</v>
      </c>
      <c r="B28" s="14">
        <v>46126</v>
      </c>
      <c r="C28" s="13" t="s">
        <v>275</v>
      </c>
      <c r="D28" s="13" t="s">
        <v>17</v>
      </c>
      <c r="E28" s="13" t="s">
        <v>285</v>
      </c>
      <c r="F28" s="13" t="s">
        <v>62</v>
      </c>
      <c r="G28" s="13">
        <v>500</v>
      </c>
      <c r="H28" s="13">
        <v>85</v>
      </c>
      <c r="I28" s="13">
        <v>42500</v>
      </c>
    </row>
    <row r="29" spans="1:10">
      <c r="A29" s="13" t="s">
        <v>289</v>
      </c>
      <c r="B29" s="14">
        <v>46130</v>
      </c>
      <c r="C29" s="13" t="s">
        <v>275</v>
      </c>
      <c r="D29" s="13" t="s">
        <v>17</v>
      </c>
      <c r="E29" s="13" t="s">
        <v>290</v>
      </c>
      <c r="F29" s="13" t="s">
        <v>62</v>
      </c>
      <c r="G29" s="13">
        <v>50</v>
      </c>
      <c r="H29" s="13">
        <v>205</v>
      </c>
      <c r="I29" s="13">
        <v>10250</v>
      </c>
    </row>
    <row r="30" spans="1:10">
      <c r="A30" s="13" t="s">
        <v>289</v>
      </c>
      <c r="B30" s="14">
        <v>46130</v>
      </c>
      <c r="C30" s="13" t="s">
        <v>275</v>
      </c>
      <c r="D30" s="13" t="s">
        <v>17</v>
      </c>
      <c r="E30" s="13" t="s">
        <v>290</v>
      </c>
      <c r="F30" s="13" t="s">
        <v>62</v>
      </c>
      <c r="G30" s="13">
        <v>100</v>
      </c>
      <c r="H30" s="13">
        <v>205</v>
      </c>
      <c r="I30" s="13">
        <v>20500</v>
      </c>
    </row>
    <row r="31" spans="1:10">
      <c r="A31" s="13" t="s">
        <v>291</v>
      </c>
      <c r="B31" s="14">
        <v>46132</v>
      </c>
      <c r="C31" s="13" t="s">
        <v>275</v>
      </c>
      <c r="D31" s="13" t="s">
        <v>17</v>
      </c>
      <c r="E31" s="13" t="s">
        <v>204</v>
      </c>
      <c r="F31" s="13" t="s">
        <v>62</v>
      </c>
      <c r="G31" s="13">
        <v>200</v>
      </c>
      <c r="H31" s="13">
        <v>95</v>
      </c>
      <c r="I31" s="13">
        <v>19000</v>
      </c>
    </row>
    <row r="32" spans="1:10">
      <c r="A32" s="13" t="s">
        <v>298</v>
      </c>
      <c r="B32" s="14">
        <v>46137</v>
      </c>
      <c r="C32" s="13" t="s">
        <v>275</v>
      </c>
      <c r="D32" s="13" t="s">
        <v>17</v>
      </c>
      <c r="E32" s="13" t="s">
        <v>204</v>
      </c>
      <c r="F32" s="13" t="s">
        <v>62</v>
      </c>
      <c r="G32" s="13">
        <v>200</v>
      </c>
      <c r="H32" s="13">
        <v>95</v>
      </c>
      <c r="I32" s="13">
        <v>19000</v>
      </c>
    </row>
    <row r="33" spans="1:9">
      <c r="A33" s="13" t="s">
        <v>299</v>
      </c>
      <c r="B33" s="14">
        <v>46140</v>
      </c>
      <c r="C33" s="13" t="s">
        <v>275</v>
      </c>
      <c r="D33" s="13" t="s">
        <v>17</v>
      </c>
      <c r="E33" s="13" t="s">
        <v>204</v>
      </c>
      <c r="F33" s="13" t="s">
        <v>62</v>
      </c>
      <c r="G33" s="13">
        <v>300</v>
      </c>
      <c r="H33" s="13">
        <v>95</v>
      </c>
      <c r="I33" s="13">
        <v>28500</v>
      </c>
    </row>
    <row r="34" spans="1:9">
      <c r="A34" s="12"/>
      <c r="B34" s="12"/>
      <c r="C34" s="12"/>
      <c r="D34" s="12"/>
      <c r="E34" s="12"/>
      <c r="F34" s="12"/>
      <c r="G34" s="12">
        <v>43971</v>
      </c>
      <c r="H34" s="12">
        <v>4878.9800000000005</v>
      </c>
      <c r="I34" s="12">
        <v>5794304.9800000004</v>
      </c>
    </row>
  </sheetData>
  <autoFilter ref="A8:I8">
    <sortState ref="A9:I50">
      <sortCondition ref="C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9"/>
  <sheetViews>
    <sheetView topLeftCell="A51" workbookViewId="0">
      <selection activeCell="A4" sqref="A4:I78"/>
    </sheetView>
  </sheetViews>
  <sheetFormatPr defaultRowHeight="14.5"/>
  <cols>
    <col min="1" max="1" width="8.7265625" customWidth="1"/>
    <col min="2" max="2" width="10.7265625" bestFit="1" customWidth="1"/>
    <col min="3" max="3" width="28.54296875" customWidth="1"/>
    <col min="4" max="4" width="7.54296875" customWidth="1"/>
    <col min="5" max="5" width="22.1796875" customWidth="1"/>
    <col min="6" max="6" width="5.7265625" bestFit="1" customWidth="1"/>
    <col min="7" max="7" width="10" bestFit="1" customWidth="1"/>
    <col min="8" max="9" width="9" bestFit="1" customWidth="1"/>
    <col min="11" max="11" width="0" hidden="1" customWidth="1"/>
  </cols>
  <sheetData>
    <row r="1" spans="1:12">
      <c r="A1" s="16" t="s">
        <v>4</v>
      </c>
      <c r="B1" s="16"/>
      <c r="C1" s="16"/>
      <c r="D1" s="16"/>
      <c r="E1" s="16"/>
      <c r="F1" s="16"/>
      <c r="G1" s="16"/>
      <c r="H1" s="16"/>
      <c r="I1" s="16"/>
    </row>
    <row r="2" spans="1:12">
      <c r="A2" s="17" t="s">
        <v>5</v>
      </c>
      <c r="B2" s="17"/>
      <c r="C2" s="17"/>
      <c r="D2" s="17"/>
      <c r="E2" s="17"/>
      <c r="F2" s="17"/>
      <c r="G2" s="17"/>
      <c r="H2" s="17"/>
      <c r="I2" s="17"/>
    </row>
    <row r="3" spans="1:12">
      <c r="A3" s="12" t="s">
        <v>6</v>
      </c>
      <c r="B3" s="12" t="s">
        <v>7</v>
      </c>
      <c r="C3" s="12" t="s">
        <v>10</v>
      </c>
      <c r="D3" s="12" t="s">
        <v>12</v>
      </c>
      <c r="E3" s="12" t="s">
        <v>11</v>
      </c>
      <c r="F3" s="12" t="s">
        <v>9</v>
      </c>
      <c r="G3" s="12" t="s">
        <v>13</v>
      </c>
      <c r="H3" s="12" t="s">
        <v>14</v>
      </c>
      <c r="I3" s="12" t="s">
        <v>8</v>
      </c>
      <c r="J3" s="12" t="s">
        <v>13</v>
      </c>
      <c r="K3" s="12" t="s">
        <v>14</v>
      </c>
      <c r="L3" s="12" t="s">
        <v>8</v>
      </c>
    </row>
    <row r="4" spans="1:12">
      <c r="A4" s="13" t="s">
        <v>164</v>
      </c>
      <c r="B4" s="14">
        <v>46129</v>
      </c>
      <c r="C4" s="13" t="s">
        <v>103</v>
      </c>
      <c r="D4" s="13" t="s">
        <v>17</v>
      </c>
      <c r="E4" s="13" t="s">
        <v>165</v>
      </c>
      <c r="F4" s="13" t="s">
        <v>62</v>
      </c>
      <c r="G4" s="13">
        <v>150</v>
      </c>
      <c r="H4" s="13">
        <v>205</v>
      </c>
      <c r="I4" s="13">
        <v>30750</v>
      </c>
      <c r="J4" s="13"/>
      <c r="K4" s="13"/>
      <c r="L4" s="13"/>
    </row>
    <row r="5" spans="1:12">
      <c r="A5" s="13" t="s">
        <v>164</v>
      </c>
      <c r="B5" s="14">
        <v>46129</v>
      </c>
      <c r="C5" s="13" t="s">
        <v>103</v>
      </c>
      <c r="D5" s="13" t="s">
        <v>17</v>
      </c>
      <c r="E5" s="13" t="s">
        <v>165</v>
      </c>
      <c r="F5" s="13" t="s">
        <v>62</v>
      </c>
      <c r="G5" s="13">
        <v>50</v>
      </c>
      <c r="H5" s="13">
        <v>105</v>
      </c>
      <c r="I5" s="13">
        <v>5250</v>
      </c>
      <c r="J5" s="13">
        <f>+G5+G4</f>
        <v>200</v>
      </c>
      <c r="K5" s="13"/>
      <c r="L5" s="13">
        <f>+I5+I4</f>
        <v>36000</v>
      </c>
    </row>
    <row r="6" spans="1:12">
      <c r="A6" s="13" t="s">
        <v>225</v>
      </c>
      <c r="B6" s="14">
        <v>46142</v>
      </c>
      <c r="C6" s="13" t="s">
        <v>57</v>
      </c>
      <c r="D6" s="13" t="s">
        <v>17</v>
      </c>
      <c r="E6" s="13" t="s">
        <v>121</v>
      </c>
      <c r="F6" s="13" t="s">
        <v>62</v>
      </c>
      <c r="G6" s="13">
        <v>1000</v>
      </c>
      <c r="H6" s="13">
        <v>65</v>
      </c>
      <c r="I6" s="13">
        <v>65000</v>
      </c>
      <c r="J6" s="13"/>
      <c r="K6" s="13"/>
      <c r="L6" s="13"/>
    </row>
    <row r="7" spans="1:12">
      <c r="A7" s="13" t="s">
        <v>119</v>
      </c>
      <c r="B7" s="14">
        <v>46119</v>
      </c>
      <c r="C7" s="13" t="s">
        <v>57</v>
      </c>
      <c r="D7" s="13" t="s">
        <v>17</v>
      </c>
      <c r="E7" s="13" t="s">
        <v>121</v>
      </c>
      <c r="F7" s="13" t="s">
        <v>62</v>
      </c>
      <c r="G7" s="13">
        <v>500</v>
      </c>
      <c r="H7" s="13">
        <v>65</v>
      </c>
      <c r="I7" s="13">
        <v>32500</v>
      </c>
      <c r="J7" s="13"/>
      <c r="K7" s="13"/>
      <c r="L7" s="13"/>
    </row>
    <row r="8" spans="1:12">
      <c r="A8" s="13" t="s">
        <v>133</v>
      </c>
      <c r="B8" s="14">
        <v>46122</v>
      </c>
      <c r="C8" s="13" t="s">
        <v>57</v>
      </c>
      <c r="D8" s="13" t="s">
        <v>17</v>
      </c>
      <c r="E8" s="13" t="s">
        <v>121</v>
      </c>
      <c r="F8" s="13" t="s">
        <v>62</v>
      </c>
      <c r="G8" s="13">
        <v>500</v>
      </c>
      <c r="H8" s="13">
        <v>65</v>
      </c>
      <c r="I8" s="13">
        <v>32500</v>
      </c>
      <c r="J8" s="13"/>
      <c r="K8" s="13"/>
      <c r="L8" s="13"/>
    </row>
    <row r="9" spans="1:12">
      <c r="A9" s="13" t="s">
        <v>194</v>
      </c>
      <c r="B9" s="14">
        <v>46136</v>
      </c>
      <c r="C9" s="13" t="s">
        <v>195</v>
      </c>
      <c r="D9" s="13" t="s">
        <v>17</v>
      </c>
      <c r="E9" s="13" t="s">
        <v>121</v>
      </c>
      <c r="F9" s="13" t="s">
        <v>62</v>
      </c>
      <c r="G9" s="13">
        <v>500</v>
      </c>
      <c r="H9" s="13">
        <v>85</v>
      </c>
      <c r="I9" s="13">
        <v>42500</v>
      </c>
      <c r="J9" s="13">
        <f>SUM(G6:G9)</f>
        <v>2500</v>
      </c>
      <c r="K9" s="13"/>
      <c r="L9" s="13">
        <f>SUM(I6:I9)</f>
        <v>172500</v>
      </c>
    </row>
    <row r="10" spans="1:12">
      <c r="A10" s="13" t="s">
        <v>217</v>
      </c>
      <c r="B10" s="14">
        <v>46140</v>
      </c>
      <c r="C10" s="13" t="s">
        <v>184</v>
      </c>
      <c r="D10" s="13" t="s">
        <v>17</v>
      </c>
      <c r="E10" s="13" t="s">
        <v>218</v>
      </c>
      <c r="F10" s="13" t="s">
        <v>62</v>
      </c>
      <c r="G10" s="13">
        <v>1000</v>
      </c>
      <c r="H10" s="13">
        <v>117</v>
      </c>
      <c r="I10" s="13">
        <v>117000</v>
      </c>
      <c r="J10" s="13">
        <f>+G10</f>
        <v>1000</v>
      </c>
      <c r="K10" s="13"/>
      <c r="L10" s="13">
        <f>+I10</f>
        <v>117000</v>
      </c>
    </row>
    <row r="11" spans="1:12">
      <c r="A11" s="13" t="s">
        <v>211</v>
      </c>
      <c r="B11" s="14">
        <v>46139</v>
      </c>
      <c r="C11" s="13" t="s">
        <v>212</v>
      </c>
      <c r="D11" s="13" t="s">
        <v>17</v>
      </c>
      <c r="E11" s="13" t="s">
        <v>104</v>
      </c>
      <c r="F11" s="13" t="s">
        <v>62</v>
      </c>
      <c r="G11" s="13">
        <v>1000</v>
      </c>
      <c r="H11" s="13">
        <v>70</v>
      </c>
      <c r="I11" s="13">
        <v>70000</v>
      </c>
      <c r="J11" s="13"/>
      <c r="K11" s="13"/>
      <c r="L11" s="13"/>
    </row>
    <row r="12" spans="1:12">
      <c r="A12" s="13" t="s">
        <v>224</v>
      </c>
      <c r="B12" s="14">
        <v>46142</v>
      </c>
      <c r="C12" s="13" t="s">
        <v>212</v>
      </c>
      <c r="D12" s="13" t="s">
        <v>17</v>
      </c>
      <c r="E12" s="13" t="s">
        <v>104</v>
      </c>
      <c r="F12" s="13" t="s">
        <v>62</v>
      </c>
      <c r="G12" s="13">
        <v>1000</v>
      </c>
      <c r="H12" s="13">
        <v>70</v>
      </c>
      <c r="I12" s="13">
        <v>70000</v>
      </c>
      <c r="J12" s="13"/>
      <c r="K12" s="13"/>
      <c r="L12" s="13"/>
    </row>
    <row r="13" spans="1:12">
      <c r="A13" s="13" t="s">
        <v>217</v>
      </c>
      <c r="B13" s="14">
        <v>46140</v>
      </c>
      <c r="C13" s="13" t="s">
        <v>184</v>
      </c>
      <c r="D13" s="13" t="s">
        <v>17</v>
      </c>
      <c r="E13" s="13" t="s">
        <v>104</v>
      </c>
      <c r="F13" s="13" t="s">
        <v>62</v>
      </c>
      <c r="G13" s="13">
        <v>1000</v>
      </c>
      <c r="H13" s="13">
        <v>65</v>
      </c>
      <c r="I13" s="13">
        <v>65000</v>
      </c>
      <c r="J13" s="13"/>
      <c r="K13" s="13"/>
      <c r="L13" s="13"/>
    </row>
    <row r="14" spans="1:12">
      <c r="A14" s="13" t="s">
        <v>102</v>
      </c>
      <c r="B14" s="14">
        <v>46118</v>
      </c>
      <c r="C14" s="13" t="s">
        <v>103</v>
      </c>
      <c r="D14" s="13" t="s">
        <v>17</v>
      </c>
      <c r="E14" s="13" t="s">
        <v>104</v>
      </c>
      <c r="F14" s="13" t="s">
        <v>62</v>
      </c>
      <c r="G14" s="13">
        <v>700</v>
      </c>
      <c r="H14" s="13">
        <v>48</v>
      </c>
      <c r="I14" s="13">
        <v>33600</v>
      </c>
      <c r="J14" s="13"/>
      <c r="K14" s="13"/>
      <c r="L14" s="13"/>
    </row>
    <row r="15" spans="1:12">
      <c r="A15" s="13" t="s">
        <v>125</v>
      </c>
      <c r="B15" s="14">
        <v>46121</v>
      </c>
      <c r="C15" s="13" t="s">
        <v>103</v>
      </c>
      <c r="D15" s="13" t="s">
        <v>17</v>
      </c>
      <c r="E15" s="13" t="s">
        <v>104</v>
      </c>
      <c r="F15" s="13" t="s">
        <v>62</v>
      </c>
      <c r="G15" s="13">
        <v>500</v>
      </c>
      <c r="H15" s="13">
        <v>48</v>
      </c>
      <c r="I15" s="13">
        <v>24000</v>
      </c>
      <c r="J15" s="13">
        <f>SUM(G11:G15)</f>
        <v>4200</v>
      </c>
      <c r="K15" s="13"/>
      <c r="L15" s="13">
        <f>SUM(I11:I15)</f>
        <v>262600</v>
      </c>
    </row>
    <row r="16" spans="1:12">
      <c r="A16" s="13" t="s">
        <v>168</v>
      </c>
      <c r="B16" s="14">
        <v>46130</v>
      </c>
      <c r="C16" s="13" t="s">
        <v>169</v>
      </c>
      <c r="D16" s="13" t="s">
        <v>17</v>
      </c>
      <c r="E16" s="13" t="s">
        <v>61</v>
      </c>
      <c r="F16" s="13" t="s">
        <v>62</v>
      </c>
      <c r="G16" s="13">
        <v>500</v>
      </c>
      <c r="H16" s="13">
        <v>175</v>
      </c>
      <c r="I16" s="13">
        <v>87500</v>
      </c>
      <c r="J16" s="13"/>
      <c r="K16" s="13"/>
      <c r="L16" s="13"/>
    </row>
    <row r="17" spans="1:12">
      <c r="A17" s="13" t="s">
        <v>100</v>
      </c>
      <c r="B17" s="14">
        <v>46118</v>
      </c>
      <c r="C17" s="13" t="s">
        <v>57</v>
      </c>
      <c r="D17" s="13" t="s">
        <v>17</v>
      </c>
      <c r="E17" s="13" t="s">
        <v>61</v>
      </c>
      <c r="F17" s="13" t="s">
        <v>62</v>
      </c>
      <c r="G17" s="13">
        <v>500</v>
      </c>
      <c r="H17" s="13">
        <v>135</v>
      </c>
      <c r="I17" s="13">
        <v>67500</v>
      </c>
      <c r="J17" s="13"/>
      <c r="K17" s="13"/>
      <c r="L17" s="13"/>
    </row>
    <row r="18" spans="1:12">
      <c r="A18" s="13" t="s">
        <v>59</v>
      </c>
      <c r="B18" s="14">
        <v>46114</v>
      </c>
      <c r="C18" s="13" t="s">
        <v>60</v>
      </c>
      <c r="D18" s="13" t="s">
        <v>17</v>
      </c>
      <c r="E18" s="13" t="s">
        <v>61</v>
      </c>
      <c r="F18" s="13" t="s">
        <v>62</v>
      </c>
      <c r="G18" s="13">
        <v>200</v>
      </c>
      <c r="H18" s="13">
        <v>150</v>
      </c>
      <c r="I18" s="13">
        <v>30000</v>
      </c>
      <c r="J18" s="13">
        <f>SUM(G16:G18)</f>
        <v>1200</v>
      </c>
      <c r="K18" s="13"/>
      <c r="L18" s="13">
        <f>SUM(I16:I18)</f>
        <v>185000</v>
      </c>
    </row>
    <row r="19" spans="1:12">
      <c r="A19" s="13" t="s">
        <v>100</v>
      </c>
      <c r="B19" s="14">
        <v>46118</v>
      </c>
      <c r="C19" s="13" t="s">
        <v>57</v>
      </c>
      <c r="D19" s="13" t="s">
        <v>17</v>
      </c>
      <c r="E19" s="13" t="s">
        <v>101</v>
      </c>
      <c r="F19" s="13" t="s">
        <v>62</v>
      </c>
      <c r="G19" s="13">
        <v>1000</v>
      </c>
      <c r="H19" s="13">
        <v>95</v>
      </c>
      <c r="I19" s="13">
        <v>95000</v>
      </c>
      <c r="J19" s="13"/>
      <c r="K19" s="13"/>
      <c r="L19" s="13"/>
    </row>
    <row r="20" spans="1:12">
      <c r="A20" s="13" t="s">
        <v>133</v>
      </c>
      <c r="B20" s="14">
        <v>46122</v>
      </c>
      <c r="C20" s="13" t="s">
        <v>57</v>
      </c>
      <c r="D20" s="13" t="s">
        <v>17</v>
      </c>
      <c r="E20" s="13" t="s">
        <v>101</v>
      </c>
      <c r="F20" s="13" t="s">
        <v>62</v>
      </c>
      <c r="G20" s="13">
        <v>1000</v>
      </c>
      <c r="H20" s="13">
        <v>95</v>
      </c>
      <c r="I20" s="13">
        <v>95000</v>
      </c>
      <c r="J20" s="13"/>
      <c r="K20" s="13"/>
      <c r="L20" s="13"/>
    </row>
    <row r="21" spans="1:12">
      <c r="A21" s="13" t="s">
        <v>274</v>
      </c>
      <c r="B21" s="14">
        <v>46115</v>
      </c>
      <c r="C21" s="13" t="s">
        <v>275</v>
      </c>
      <c r="D21" s="13" t="s">
        <v>17</v>
      </c>
      <c r="E21" s="13" t="s">
        <v>101</v>
      </c>
      <c r="F21" s="13" t="s">
        <v>62</v>
      </c>
      <c r="G21" s="13">
        <v>1000</v>
      </c>
      <c r="H21" s="13">
        <v>75</v>
      </c>
      <c r="I21" s="13">
        <v>75000</v>
      </c>
      <c r="J21" s="13"/>
      <c r="K21" s="13"/>
      <c r="L21" s="13"/>
    </row>
    <row r="22" spans="1:12">
      <c r="A22" s="13" t="s">
        <v>274</v>
      </c>
      <c r="B22" s="14">
        <v>46115</v>
      </c>
      <c r="C22" s="13" t="s">
        <v>275</v>
      </c>
      <c r="D22" s="13" t="s">
        <v>17</v>
      </c>
      <c r="E22" s="13" t="s">
        <v>101</v>
      </c>
      <c r="F22" s="13" t="s">
        <v>62</v>
      </c>
      <c r="G22" s="13">
        <v>100</v>
      </c>
      <c r="H22" s="13">
        <v>75</v>
      </c>
      <c r="I22" s="13">
        <v>7500</v>
      </c>
      <c r="J22" s="13"/>
      <c r="K22" s="13"/>
      <c r="L22" s="13"/>
    </row>
    <row r="23" spans="1:12">
      <c r="A23" s="13" t="s">
        <v>194</v>
      </c>
      <c r="B23" s="14">
        <v>46136</v>
      </c>
      <c r="C23" s="13" t="s">
        <v>195</v>
      </c>
      <c r="D23" s="13" t="s">
        <v>17</v>
      </c>
      <c r="E23" s="13" t="s">
        <v>101</v>
      </c>
      <c r="F23" s="13" t="s">
        <v>62</v>
      </c>
      <c r="G23" s="13">
        <v>500</v>
      </c>
      <c r="H23" s="13">
        <v>115</v>
      </c>
      <c r="I23" s="13">
        <v>57500</v>
      </c>
      <c r="J23" s="13">
        <f>SUM(G19:G23)</f>
        <v>3600</v>
      </c>
      <c r="K23" s="13"/>
      <c r="L23" s="13">
        <f>SUM(I19:I23)</f>
        <v>330000</v>
      </c>
    </row>
    <row r="24" spans="1:12">
      <c r="A24" s="13" t="s">
        <v>289</v>
      </c>
      <c r="B24" s="14">
        <v>46130</v>
      </c>
      <c r="C24" s="13" t="s">
        <v>275</v>
      </c>
      <c r="D24" s="13" t="s">
        <v>17</v>
      </c>
      <c r="E24" s="13" t="s">
        <v>290</v>
      </c>
      <c r="F24" s="13" t="s">
        <v>62</v>
      </c>
      <c r="G24" s="13">
        <v>50</v>
      </c>
      <c r="H24" s="13">
        <v>205</v>
      </c>
      <c r="I24" s="13">
        <v>10250</v>
      </c>
      <c r="J24" s="13"/>
      <c r="K24" s="13"/>
      <c r="L24" s="13"/>
    </row>
    <row r="25" spans="1:12">
      <c r="A25" s="13" t="s">
        <v>289</v>
      </c>
      <c r="B25" s="14">
        <v>46130</v>
      </c>
      <c r="C25" s="13" t="s">
        <v>275</v>
      </c>
      <c r="D25" s="13" t="s">
        <v>17</v>
      </c>
      <c r="E25" s="13" t="s">
        <v>290</v>
      </c>
      <c r="F25" s="13" t="s">
        <v>62</v>
      </c>
      <c r="G25" s="13">
        <v>100</v>
      </c>
      <c r="H25" s="13">
        <v>205</v>
      </c>
      <c r="I25" s="13">
        <v>20500</v>
      </c>
      <c r="J25" s="13">
        <f>+G25+G24</f>
        <v>150</v>
      </c>
      <c r="K25" s="13"/>
      <c r="L25" s="13">
        <f>+I25+I24</f>
        <v>30750</v>
      </c>
    </row>
    <row r="26" spans="1:12">
      <c r="A26" s="13" t="s">
        <v>211</v>
      </c>
      <c r="B26" s="14">
        <v>46139</v>
      </c>
      <c r="C26" s="13" t="s">
        <v>212</v>
      </c>
      <c r="D26" s="13" t="s">
        <v>17</v>
      </c>
      <c r="E26" s="13" t="s">
        <v>213</v>
      </c>
      <c r="F26" s="13" t="s">
        <v>62</v>
      </c>
      <c r="G26" s="13">
        <v>1000</v>
      </c>
      <c r="H26" s="13">
        <v>97</v>
      </c>
      <c r="I26" s="13">
        <v>97000</v>
      </c>
      <c r="J26" s="13"/>
      <c r="K26" s="13"/>
      <c r="L26" s="13"/>
    </row>
    <row r="27" spans="1:12">
      <c r="A27" s="13" t="s">
        <v>224</v>
      </c>
      <c r="B27" s="14">
        <v>46142</v>
      </c>
      <c r="C27" s="13" t="s">
        <v>212</v>
      </c>
      <c r="D27" s="13" t="s">
        <v>17</v>
      </c>
      <c r="E27" s="13" t="s">
        <v>213</v>
      </c>
      <c r="F27" s="13" t="s">
        <v>62</v>
      </c>
      <c r="G27" s="13">
        <v>500</v>
      </c>
      <c r="H27" s="13">
        <v>97</v>
      </c>
      <c r="I27" s="13">
        <v>48500</v>
      </c>
      <c r="J27" s="13">
        <f>+G27+G26</f>
        <v>1500</v>
      </c>
      <c r="K27" s="13"/>
      <c r="L27" s="13">
        <f>+I27+I26</f>
        <v>145500</v>
      </c>
    </row>
    <row r="28" spans="1:12">
      <c r="A28" s="13" t="s">
        <v>200</v>
      </c>
      <c r="B28" s="14">
        <v>46137</v>
      </c>
      <c r="C28" s="13" t="s">
        <v>86</v>
      </c>
      <c r="D28" s="13" t="s">
        <v>17</v>
      </c>
      <c r="E28" s="13" t="s">
        <v>87</v>
      </c>
      <c r="F28" s="13" t="s">
        <v>62</v>
      </c>
      <c r="G28" s="13">
        <v>20</v>
      </c>
      <c r="H28" s="13">
        <v>605</v>
      </c>
      <c r="I28" s="13">
        <v>12100</v>
      </c>
      <c r="J28" s="13"/>
      <c r="K28" s="13"/>
      <c r="L28" s="13"/>
    </row>
    <row r="29" spans="1:12">
      <c r="A29" s="13" t="s">
        <v>85</v>
      </c>
      <c r="B29" s="14">
        <v>46116</v>
      </c>
      <c r="C29" s="13" t="s">
        <v>86</v>
      </c>
      <c r="D29" s="13" t="s">
        <v>17</v>
      </c>
      <c r="E29" s="13" t="s">
        <v>87</v>
      </c>
      <c r="F29" s="13" t="s">
        <v>62</v>
      </c>
      <c r="G29" s="13">
        <v>20</v>
      </c>
      <c r="H29" s="13">
        <v>580</v>
      </c>
      <c r="I29" s="13">
        <v>11600</v>
      </c>
      <c r="J29" s="13"/>
      <c r="K29" s="13"/>
      <c r="L29" s="13"/>
    </row>
    <row r="30" spans="1:12">
      <c r="A30" s="13" t="s">
        <v>100</v>
      </c>
      <c r="B30" s="14">
        <v>46118</v>
      </c>
      <c r="C30" s="13" t="s">
        <v>57</v>
      </c>
      <c r="D30" s="13" t="s">
        <v>17</v>
      </c>
      <c r="E30" s="13" t="s">
        <v>87</v>
      </c>
      <c r="F30" s="13" t="s">
        <v>62</v>
      </c>
      <c r="G30" s="13">
        <v>60</v>
      </c>
      <c r="H30" s="13">
        <v>540</v>
      </c>
      <c r="I30" s="13">
        <v>32400</v>
      </c>
      <c r="J30" s="13"/>
      <c r="K30" s="13"/>
      <c r="L30" s="13"/>
    </row>
    <row r="31" spans="1:12">
      <c r="A31" s="13" t="s">
        <v>194</v>
      </c>
      <c r="B31" s="14">
        <v>46136</v>
      </c>
      <c r="C31" s="13" t="s">
        <v>195</v>
      </c>
      <c r="D31" s="13" t="s">
        <v>17</v>
      </c>
      <c r="E31" s="13" t="s">
        <v>87</v>
      </c>
      <c r="F31" s="13" t="s">
        <v>62</v>
      </c>
      <c r="G31" s="13">
        <v>20</v>
      </c>
      <c r="H31" s="13">
        <v>755</v>
      </c>
      <c r="I31" s="13">
        <v>15100</v>
      </c>
      <c r="J31" s="13"/>
      <c r="K31" s="13"/>
      <c r="L31" s="13"/>
    </row>
    <row r="32" spans="1:12">
      <c r="A32" s="13" t="s">
        <v>125</v>
      </c>
      <c r="B32" s="14">
        <v>46121</v>
      </c>
      <c r="C32" s="13" t="s">
        <v>103</v>
      </c>
      <c r="D32" s="13" t="s">
        <v>17</v>
      </c>
      <c r="E32" s="13" t="s">
        <v>87</v>
      </c>
      <c r="F32" s="13" t="s">
        <v>62</v>
      </c>
      <c r="G32" s="13">
        <v>20</v>
      </c>
      <c r="H32" s="13">
        <v>645</v>
      </c>
      <c r="I32" s="13">
        <v>12900</v>
      </c>
      <c r="J32" s="13">
        <f>SUM(G28:G32)</f>
        <v>140</v>
      </c>
      <c r="K32" s="13"/>
      <c r="L32" s="13">
        <f>SUM(I28:I32)</f>
        <v>84100</v>
      </c>
    </row>
    <row r="33" spans="1:12">
      <c r="A33" s="13" t="s">
        <v>194</v>
      </c>
      <c r="B33" s="14">
        <v>46136</v>
      </c>
      <c r="C33" s="13" t="s">
        <v>195</v>
      </c>
      <c r="D33" s="13" t="s">
        <v>17</v>
      </c>
      <c r="E33" s="13" t="s">
        <v>147</v>
      </c>
      <c r="F33" s="13" t="s">
        <v>62</v>
      </c>
      <c r="G33" s="13">
        <v>100</v>
      </c>
      <c r="H33" s="13">
        <v>135</v>
      </c>
      <c r="I33" s="13">
        <v>13500</v>
      </c>
      <c r="J33" s="13">
        <f>+G33</f>
        <v>100</v>
      </c>
      <c r="K33" s="13"/>
      <c r="L33" s="13">
        <f>+I33</f>
        <v>13500</v>
      </c>
    </row>
    <row r="34" spans="1:12">
      <c r="A34" s="13" t="s">
        <v>119</v>
      </c>
      <c r="B34" s="14">
        <v>46119</v>
      </c>
      <c r="C34" s="13" t="s">
        <v>57</v>
      </c>
      <c r="D34" s="13" t="s">
        <v>17</v>
      </c>
      <c r="E34" s="13" t="s">
        <v>74</v>
      </c>
      <c r="F34" s="13" t="s">
        <v>62</v>
      </c>
      <c r="G34" s="13">
        <v>500</v>
      </c>
      <c r="H34" s="13">
        <v>82</v>
      </c>
      <c r="I34" s="13">
        <v>41000</v>
      </c>
      <c r="J34" s="13"/>
      <c r="K34" s="13"/>
      <c r="L34" s="13"/>
    </row>
    <row r="35" spans="1:12">
      <c r="A35" s="13" t="s">
        <v>194</v>
      </c>
      <c r="B35" s="14">
        <v>46136</v>
      </c>
      <c r="C35" s="13" t="s">
        <v>195</v>
      </c>
      <c r="D35" s="13" t="s">
        <v>17</v>
      </c>
      <c r="E35" s="13" t="s">
        <v>74</v>
      </c>
      <c r="F35" s="13" t="s">
        <v>62</v>
      </c>
      <c r="G35" s="13">
        <v>200</v>
      </c>
      <c r="H35" s="13">
        <v>95</v>
      </c>
      <c r="I35" s="13">
        <v>19000</v>
      </c>
      <c r="J35" s="13"/>
      <c r="K35" s="13"/>
      <c r="L35" s="13"/>
    </row>
    <row r="36" spans="1:12">
      <c r="A36" s="13" t="s">
        <v>72</v>
      </c>
      <c r="B36" s="14">
        <v>46115</v>
      </c>
      <c r="C36" s="13" t="s">
        <v>67</v>
      </c>
      <c r="D36" s="13" t="s">
        <v>17</v>
      </c>
      <c r="E36" s="13" t="s">
        <v>74</v>
      </c>
      <c r="F36" s="13" t="s">
        <v>62</v>
      </c>
      <c r="G36" s="13">
        <v>8</v>
      </c>
      <c r="H36" s="13">
        <v>135</v>
      </c>
      <c r="I36" s="13">
        <v>1080</v>
      </c>
      <c r="J36" s="13"/>
      <c r="K36" s="13"/>
      <c r="L36" s="13"/>
    </row>
    <row r="37" spans="1:12">
      <c r="A37" s="13" t="s">
        <v>72</v>
      </c>
      <c r="B37" s="14">
        <v>46115</v>
      </c>
      <c r="C37" s="13" t="s">
        <v>67</v>
      </c>
      <c r="D37" s="13" t="s">
        <v>17</v>
      </c>
      <c r="E37" s="13" t="s">
        <v>74</v>
      </c>
      <c r="F37" s="13" t="s">
        <v>62</v>
      </c>
      <c r="G37" s="13">
        <v>2</v>
      </c>
      <c r="H37" s="13">
        <v>135</v>
      </c>
      <c r="I37" s="13">
        <v>270</v>
      </c>
      <c r="J37" s="13">
        <f>SUM(G34:G37)</f>
        <v>710</v>
      </c>
      <c r="K37" s="13"/>
      <c r="L37" s="13">
        <f>SUM(I34:I37)</f>
        <v>61350</v>
      </c>
    </row>
    <row r="38" spans="1:12">
      <c r="A38" s="13" t="s">
        <v>176</v>
      </c>
      <c r="B38" s="14">
        <v>46130</v>
      </c>
      <c r="C38" s="13" t="s">
        <v>132</v>
      </c>
      <c r="D38" s="13" t="s">
        <v>17</v>
      </c>
      <c r="E38" s="13" t="s">
        <v>66</v>
      </c>
      <c r="F38" s="13" t="s">
        <v>62</v>
      </c>
      <c r="G38" s="13">
        <v>50</v>
      </c>
      <c r="H38" s="13">
        <v>76</v>
      </c>
      <c r="I38" s="13">
        <v>3800</v>
      </c>
      <c r="J38" s="13"/>
      <c r="K38" s="13"/>
      <c r="L38" s="13"/>
    </row>
    <row r="39" spans="1:12">
      <c r="A39" s="13" t="s">
        <v>178</v>
      </c>
      <c r="B39" s="14">
        <v>46132</v>
      </c>
      <c r="C39" s="13" t="s">
        <v>132</v>
      </c>
      <c r="D39" s="13" t="s">
        <v>17</v>
      </c>
      <c r="E39" s="13" t="s">
        <v>66</v>
      </c>
      <c r="F39" s="13" t="s">
        <v>62</v>
      </c>
      <c r="G39" s="13">
        <v>300</v>
      </c>
      <c r="H39" s="13">
        <v>76</v>
      </c>
      <c r="I39" s="13">
        <v>22800</v>
      </c>
      <c r="J39" s="13"/>
      <c r="K39" s="13"/>
      <c r="L39" s="13"/>
    </row>
    <row r="40" spans="1:12">
      <c r="A40" s="13" t="s">
        <v>220</v>
      </c>
      <c r="B40" s="14">
        <v>46141</v>
      </c>
      <c r="C40" s="13" t="s">
        <v>132</v>
      </c>
      <c r="D40" s="13" t="s">
        <v>17</v>
      </c>
      <c r="E40" s="13" t="s">
        <v>66</v>
      </c>
      <c r="F40" s="13" t="s">
        <v>62</v>
      </c>
      <c r="G40" s="13">
        <v>300</v>
      </c>
      <c r="H40" s="13">
        <v>70</v>
      </c>
      <c r="I40" s="13">
        <v>21000</v>
      </c>
      <c r="J40" s="13"/>
      <c r="K40" s="13"/>
      <c r="L40" s="13"/>
    </row>
    <row r="41" spans="1:12">
      <c r="A41" s="13" t="s">
        <v>131</v>
      </c>
      <c r="B41" s="14">
        <v>46122</v>
      </c>
      <c r="C41" s="13" t="s">
        <v>132</v>
      </c>
      <c r="D41" s="13" t="s">
        <v>17</v>
      </c>
      <c r="E41" s="13" t="s">
        <v>66</v>
      </c>
      <c r="F41" s="13" t="s">
        <v>62</v>
      </c>
      <c r="G41" s="13">
        <v>200</v>
      </c>
      <c r="H41" s="13">
        <v>70</v>
      </c>
      <c r="I41" s="13">
        <v>14000</v>
      </c>
      <c r="J41" s="13"/>
      <c r="K41" s="13"/>
      <c r="L41" s="13"/>
    </row>
    <row r="42" spans="1:12">
      <c r="A42" s="13" t="s">
        <v>85</v>
      </c>
      <c r="B42" s="14">
        <v>46116</v>
      </c>
      <c r="C42" s="13" t="s">
        <v>86</v>
      </c>
      <c r="D42" s="13" t="s">
        <v>17</v>
      </c>
      <c r="E42" s="13" t="s">
        <v>66</v>
      </c>
      <c r="F42" s="13" t="s">
        <v>62</v>
      </c>
      <c r="G42" s="13">
        <v>100</v>
      </c>
      <c r="H42" s="13">
        <v>70</v>
      </c>
      <c r="I42" s="13">
        <v>7000</v>
      </c>
      <c r="J42" s="13"/>
      <c r="K42" s="13"/>
      <c r="L42" s="13"/>
    </row>
    <row r="43" spans="1:12">
      <c r="A43" s="13" t="s">
        <v>119</v>
      </c>
      <c r="B43" s="14">
        <v>46119</v>
      </c>
      <c r="C43" s="13" t="s">
        <v>57</v>
      </c>
      <c r="D43" s="13" t="s">
        <v>17</v>
      </c>
      <c r="E43" s="13" t="s">
        <v>66</v>
      </c>
      <c r="F43" s="13" t="s">
        <v>62</v>
      </c>
      <c r="G43" s="13">
        <v>500</v>
      </c>
      <c r="H43" s="13">
        <v>60</v>
      </c>
      <c r="I43" s="13">
        <v>30000</v>
      </c>
      <c r="J43" s="13"/>
      <c r="K43" s="13"/>
      <c r="L43" s="13"/>
    </row>
    <row r="44" spans="1:12">
      <c r="A44" s="13" t="s">
        <v>133</v>
      </c>
      <c r="B44" s="14">
        <v>46122</v>
      </c>
      <c r="C44" s="13" t="s">
        <v>57</v>
      </c>
      <c r="D44" s="13" t="s">
        <v>17</v>
      </c>
      <c r="E44" s="13" t="s">
        <v>66</v>
      </c>
      <c r="F44" s="13" t="s">
        <v>62</v>
      </c>
      <c r="G44" s="13">
        <v>500</v>
      </c>
      <c r="H44" s="13">
        <v>60</v>
      </c>
      <c r="I44" s="13">
        <v>30000</v>
      </c>
      <c r="J44" s="13"/>
      <c r="K44" s="13"/>
      <c r="L44" s="13"/>
    </row>
    <row r="45" spans="1:12">
      <c r="A45" s="13" t="s">
        <v>64</v>
      </c>
      <c r="B45" s="14">
        <v>46114</v>
      </c>
      <c r="C45" s="13" t="s">
        <v>65</v>
      </c>
      <c r="D45" s="13" t="s">
        <v>17</v>
      </c>
      <c r="E45" s="13" t="s">
        <v>66</v>
      </c>
      <c r="F45" s="13" t="s">
        <v>62</v>
      </c>
      <c r="G45" s="13">
        <v>100</v>
      </c>
      <c r="H45" s="13">
        <v>55</v>
      </c>
      <c r="I45" s="13">
        <v>5500</v>
      </c>
      <c r="J45" s="13">
        <f>SUM(G38:G45)</f>
        <v>2050</v>
      </c>
      <c r="K45" s="13"/>
      <c r="L45" s="13">
        <f>SUM(I38:I45)</f>
        <v>134100</v>
      </c>
    </row>
    <row r="46" spans="1:12">
      <c r="A46" s="13" t="s">
        <v>155</v>
      </c>
      <c r="B46" s="14">
        <v>46127</v>
      </c>
      <c r="C46" s="13" t="s">
        <v>77</v>
      </c>
      <c r="D46" s="13" t="s">
        <v>17</v>
      </c>
      <c r="E46" s="13" t="s">
        <v>146</v>
      </c>
      <c r="F46" s="13" t="s">
        <v>62</v>
      </c>
      <c r="G46" s="13">
        <v>100</v>
      </c>
      <c r="H46" s="13">
        <v>140</v>
      </c>
      <c r="I46" s="13">
        <v>14000</v>
      </c>
      <c r="J46" s="13">
        <f t="shared" ref="J46" si="0">+G46</f>
        <v>100</v>
      </c>
      <c r="K46" s="13"/>
      <c r="L46" s="13">
        <f t="shared" ref="L46" si="1">+I46</f>
        <v>14000</v>
      </c>
    </row>
    <row r="47" spans="1:12">
      <c r="A47" s="13" t="s">
        <v>194</v>
      </c>
      <c r="B47" s="14">
        <v>46136</v>
      </c>
      <c r="C47" s="13" t="s">
        <v>195</v>
      </c>
      <c r="D47" s="13" t="s">
        <v>17</v>
      </c>
      <c r="E47" s="13" t="s">
        <v>196</v>
      </c>
      <c r="F47" s="13" t="s">
        <v>62</v>
      </c>
      <c r="G47" s="13">
        <v>200</v>
      </c>
      <c r="H47" s="13">
        <v>85</v>
      </c>
      <c r="I47" s="13">
        <v>17000</v>
      </c>
      <c r="J47" s="13"/>
      <c r="K47" s="13"/>
      <c r="L47" s="13"/>
    </row>
    <row r="48" spans="1:12">
      <c r="A48" s="13" t="s">
        <v>276</v>
      </c>
      <c r="B48" s="14">
        <v>46116</v>
      </c>
      <c r="C48" s="13" t="s">
        <v>275</v>
      </c>
      <c r="D48" s="13" t="s">
        <v>17</v>
      </c>
      <c r="E48" s="13" t="s">
        <v>277</v>
      </c>
      <c r="F48" s="13" t="s">
        <v>62</v>
      </c>
      <c r="G48" s="13">
        <v>500</v>
      </c>
      <c r="H48" s="13">
        <v>75</v>
      </c>
      <c r="I48" s="13">
        <v>37500</v>
      </c>
      <c r="J48" s="13">
        <f>+G48+G47</f>
        <v>700</v>
      </c>
      <c r="K48" s="13">
        <f t="shared" ref="K48:L48" si="2">+H48+H47</f>
        <v>160</v>
      </c>
      <c r="L48" s="13">
        <f t="shared" si="2"/>
        <v>54500</v>
      </c>
    </row>
    <row r="49" spans="1:12">
      <c r="A49" s="13" t="s">
        <v>119</v>
      </c>
      <c r="B49" s="14">
        <v>46119</v>
      </c>
      <c r="C49" s="13" t="s">
        <v>57</v>
      </c>
      <c r="D49" s="13" t="s">
        <v>17</v>
      </c>
      <c r="E49" s="13" t="s">
        <v>120</v>
      </c>
      <c r="F49" s="13" t="s">
        <v>62</v>
      </c>
      <c r="G49" s="13">
        <v>500</v>
      </c>
      <c r="H49" s="13">
        <v>95</v>
      </c>
      <c r="I49" s="13">
        <v>47500</v>
      </c>
      <c r="J49" s="13"/>
      <c r="K49" s="13"/>
      <c r="L49" s="13"/>
    </row>
    <row r="50" spans="1:12">
      <c r="A50" s="13" t="s">
        <v>133</v>
      </c>
      <c r="B50" s="14">
        <v>46122</v>
      </c>
      <c r="C50" s="13" t="s">
        <v>57</v>
      </c>
      <c r="D50" s="13" t="s">
        <v>17</v>
      </c>
      <c r="E50" s="13" t="s">
        <v>120</v>
      </c>
      <c r="F50" s="13" t="s">
        <v>62</v>
      </c>
      <c r="G50" s="13">
        <v>500</v>
      </c>
      <c r="H50" s="13">
        <v>95</v>
      </c>
      <c r="I50" s="13">
        <v>47500</v>
      </c>
      <c r="J50" s="13"/>
      <c r="K50" s="13"/>
      <c r="L50" s="13"/>
    </row>
    <row r="51" spans="1:12">
      <c r="A51" s="13" t="s">
        <v>194</v>
      </c>
      <c r="B51" s="14">
        <v>46136</v>
      </c>
      <c r="C51" s="13" t="s">
        <v>195</v>
      </c>
      <c r="D51" s="13" t="s">
        <v>17</v>
      </c>
      <c r="E51" s="13" t="s">
        <v>120</v>
      </c>
      <c r="F51" s="13" t="s">
        <v>62</v>
      </c>
      <c r="G51" s="13">
        <v>500</v>
      </c>
      <c r="H51" s="13">
        <v>95</v>
      </c>
      <c r="I51" s="13">
        <v>47500</v>
      </c>
      <c r="J51" s="13"/>
      <c r="K51" s="13"/>
      <c r="L51" s="13"/>
    </row>
    <row r="52" spans="1:12">
      <c r="A52" s="13" t="s">
        <v>284</v>
      </c>
      <c r="B52" s="14">
        <v>46126</v>
      </c>
      <c r="C52" s="13" t="s">
        <v>275</v>
      </c>
      <c r="D52" s="13" t="s">
        <v>17</v>
      </c>
      <c r="E52" s="13" t="s">
        <v>285</v>
      </c>
      <c r="F52" s="13" t="s">
        <v>62</v>
      </c>
      <c r="G52" s="13">
        <v>500</v>
      </c>
      <c r="H52" s="13">
        <v>85</v>
      </c>
      <c r="I52" s="13">
        <v>42500</v>
      </c>
      <c r="J52" s="13"/>
      <c r="K52" s="13"/>
      <c r="L52" s="13"/>
    </row>
    <row r="53" spans="1:12">
      <c r="A53" s="13" t="s">
        <v>125</v>
      </c>
      <c r="B53" s="14">
        <v>46121</v>
      </c>
      <c r="C53" s="13" t="s">
        <v>103</v>
      </c>
      <c r="D53" s="13" t="s">
        <v>17</v>
      </c>
      <c r="E53" s="13" t="s">
        <v>120</v>
      </c>
      <c r="F53" s="13" t="s">
        <v>62</v>
      </c>
      <c r="G53" s="13">
        <v>200</v>
      </c>
      <c r="H53" s="13">
        <v>120</v>
      </c>
      <c r="I53" s="13">
        <v>24000</v>
      </c>
      <c r="J53" s="13">
        <f>SUM(G49:G53)</f>
        <v>2200</v>
      </c>
      <c r="K53" s="13"/>
      <c r="L53" s="13">
        <f>SUM(I49:I53)</f>
        <v>209000</v>
      </c>
    </row>
    <row r="54" spans="1:12">
      <c r="A54" s="13" t="s">
        <v>139</v>
      </c>
      <c r="B54" s="14">
        <v>46125</v>
      </c>
      <c r="C54" s="13" t="s">
        <v>57</v>
      </c>
      <c r="D54" s="13" t="s">
        <v>17</v>
      </c>
      <c r="E54" s="13" t="s">
        <v>140</v>
      </c>
      <c r="F54" s="13" t="s">
        <v>62</v>
      </c>
      <c r="G54" s="13">
        <v>50</v>
      </c>
      <c r="H54" s="13">
        <v>95</v>
      </c>
      <c r="I54" s="13">
        <v>4750</v>
      </c>
      <c r="J54" s="13">
        <f t="shared" ref="J54" si="3">+G54</f>
        <v>50</v>
      </c>
      <c r="K54" s="13"/>
      <c r="L54" s="13">
        <f t="shared" ref="L54" si="4">+I54</f>
        <v>4750</v>
      </c>
    </row>
    <row r="55" spans="1:12">
      <c r="A55" s="13" t="s">
        <v>125</v>
      </c>
      <c r="B55" s="14">
        <v>46121</v>
      </c>
      <c r="C55" s="13" t="s">
        <v>103</v>
      </c>
      <c r="D55" s="13" t="s">
        <v>17</v>
      </c>
      <c r="E55" s="13" t="s">
        <v>326</v>
      </c>
      <c r="F55" s="13" t="s">
        <v>62</v>
      </c>
      <c r="G55" s="13">
        <v>500</v>
      </c>
      <c r="H55" s="13">
        <v>175</v>
      </c>
      <c r="I55" s="13">
        <v>87500</v>
      </c>
      <c r="J55" s="13">
        <f t="shared" ref="J55" si="5">+G55</f>
        <v>500</v>
      </c>
      <c r="K55" s="13"/>
      <c r="L55" s="13">
        <f t="shared" ref="L55" si="6">+I55</f>
        <v>87500</v>
      </c>
    </row>
    <row r="56" spans="1:12">
      <c r="A56" s="13" t="s">
        <v>76</v>
      </c>
      <c r="B56" s="14">
        <v>46115</v>
      </c>
      <c r="C56" s="13" t="s">
        <v>77</v>
      </c>
      <c r="D56" s="13" t="s">
        <v>17</v>
      </c>
      <c r="E56" s="13" t="s">
        <v>78</v>
      </c>
      <c r="F56" s="13" t="s">
        <v>62</v>
      </c>
      <c r="G56" s="13">
        <v>100</v>
      </c>
      <c r="H56" s="13">
        <v>180</v>
      </c>
      <c r="I56" s="13">
        <v>18000</v>
      </c>
      <c r="J56" s="13"/>
      <c r="K56" s="13"/>
      <c r="L56" s="13"/>
    </row>
    <row r="57" spans="1:12">
      <c r="A57" s="13" t="s">
        <v>155</v>
      </c>
      <c r="B57" s="14">
        <v>46127</v>
      </c>
      <c r="C57" s="13" t="s">
        <v>77</v>
      </c>
      <c r="D57" s="13" t="s">
        <v>17</v>
      </c>
      <c r="E57" s="13" t="s">
        <v>78</v>
      </c>
      <c r="F57" s="13" t="s">
        <v>62</v>
      </c>
      <c r="G57" s="13">
        <v>100</v>
      </c>
      <c r="H57" s="13">
        <v>140</v>
      </c>
      <c r="I57" s="13">
        <v>14000</v>
      </c>
      <c r="J57" s="13">
        <f>SUM(G56:G57)</f>
        <v>200</v>
      </c>
      <c r="K57" s="13"/>
      <c r="L57" s="13">
        <f>SUM(I56:I57)</f>
        <v>32000</v>
      </c>
    </row>
    <row r="58" spans="1:12">
      <c r="A58" s="13" t="s">
        <v>220</v>
      </c>
      <c r="B58" s="14">
        <v>46141</v>
      </c>
      <c r="C58" s="13" t="s">
        <v>132</v>
      </c>
      <c r="D58" s="13" t="s">
        <v>17</v>
      </c>
      <c r="E58" s="13" t="s">
        <v>88</v>
      </c>
      <c r="F58" s="13" t="s">
        <v>62</v>
      </c>
      <c r="G58" s="13">
        <v>100</v>
      </c>
      <c r="H58" s="13">
        <v>240</v>
      </c>
      <c r="I58" s="13">
        <v>24000</v>
      </c>
      <c r="J58" s="13"/>
      <c r="K58" s="13"/>
      <c r="L58" s="13"/>
    </row>
    <row r="59" spans="1:12">
      <c r="A59" s="13" t="s">
        <v>131</v>
      </c>
      <c r="B59" s="14">
        <v>46122</v>
      </c>
      <c r="C59" s="13" t="s">
        <v>132</v>
      </c>
      <c r="D59" s="13" t="s">
        <v>17</v>
      </c>
      <c r="E59" s="13" t="s">
        <v>88</v>
      </c>
      <c r="F59" s="13" t="s">
        <v>62</v>
      </c>
      <c r="G59" s="13">
        <v>100</v>
      </c>
      <c r="H59" s="13">
        <v>240</v>
      </c>
      <c r="I59" s="13">
        <v>24000</v>
      </c>
      <c r="J59" s="13"/>
      <c r="K59" s="13"/>
      <c r="L59" s="13"/>
    </row>
    <row r="60" spans="1:12">
      <c r="A60" s="13" t="s">
        <v>85</v>
      </c>
      <c r="B60" s="14">
        <v>46116</v>
      </c>
      <c r="C60" s="13" t="s">
        <v>86</v>
      </c>
      <c r="D60" s="13" t="s">
        <v>17</v>
      </c>
      <c r="E60" s="13" t="s">
        <v>88</v>
      </c>
      <c r="F60" s="13" t="s">
        <v>62</v>
      </c>
      <c r="G60" s="13">
        <v>100</v>
      </c>
      <c r="H60" s="13">
        <v>240</v>
      </c>
      <c r="I60" s="13">
        <v>24000</v>
      </c>
      <c r="J60" s="13"/>
      <c r="K60" s="13"/>
      <c r="L60" s="13"/>
    </row>
    <row r="61" spans="1:12">
      <c r="A61" s="13" t="s">
        <v>164</v>
      </c>
      <c r="B61" s="14">
        <v>46129</v>
      </c>
      <c r="C61" s="13" t="s">
        <v>103</v>
      </c>
      <c r="D61" s="13" t="s">
        <v>17</v>
      </c>
      <c r="E61" s="13" t="s">
        <v>88</v>
      </c>
      <c r="F61" s="13" t="s">
        <v>62</v>
      </c>
      <c r="G61" s="13">
        <v>500</v>
      </c>
      <c r="H61" s="13">
        <v>285</v>
      </c>
      <c r="I61" s="13">
        <v>142500</v>
      </c>
      <c r="J61" s="13"/>
      <c r="K61" s="13"/>
      <c r="L61" s="13"/>
    </row>
    <row r="62" spans="1:12">
      <c r="A62" s="13" t="s">
        <v>102</v>
      </c>
      <c r="B62" s="14">
        <v>46118</v>
      </c>
      <c r="C62" s="13" t="s">
        <v>103</v>
      </c>
      <c r="D62" s="13" t="s">
        <v>17</v>
      </c>
      <c r="E62" s="13" t="s">
        <v>88</v>
      </c>
      <c r="F62" s="13" t="s">
        <v>62</v>
      </c>
      <c r="G62" s="13">
        <v>500</v>
      </c>
      <c r="H62" s="13">
        <v>259</v>
      </c>
      <c r="I62" s="13">
        <v>129500</v>
      </c>
      <c r="J62" s="13"/>
      <c r="K62" s="13"/>
      <c r="L62" s="13"/>
    </row>
    <row r="63" spans="1:12">
      <c r="A63" s="13" t="s">
        <v>125</v>
      </c>
      <c r="B63" s="14">
        <v>46121</v>
      </c>
      <c r="C63" s="13" t="s">
        <v>103</v>
      </c>
      <c r="D63" s="13" t="s">
        <v>17</v>
      </c>
      <c r="E63" s="13" t="s">
        <v>88</v>
      </c>
      <c r="F63" s="13" t="s">
        <v>62</v>
      </c>
      <c r="G63" s="13">
        <v>500</v>
      </c>
      <c r="H63" s="13">
        <v>259</v>
      </c>
      <c r="I63" s="13">
        <v>129500</v>
      </c>
      <c r="J63" s="13">
        <f>SUM(G58:G63)</f>
        <v>1800</v>
      </c>
      <c r="K63" s="13"/>
      <c r="L63" s="13">
        <f>SUM(I58:I63)</f>
        <v>473500</v>
      </c>
    </row>
    <row r="64" spans="1:12">
      <c r="A64" s="13" t="s">
        <v>85</v>
      </c>
      <c r="B64" s="14">
        <v>46116</v>
      </c>
      <c r="C64" s="13" t="s">
        <v>86</v>
      </c>
      <c r="D64" s="13" t="s">
        <v>17</v>
      </c>
      <c r="E64" s="13" t="s">
        <v>63</v>
      </c>
      <c r="F64" s="13" t="s">
        <v>62</v>
      </c>
      <c r="G64" s="13">
        <v>100</v>
      </c>
      <c r="H64" s="13">
        <v>45</v>
      </c>
      <c r="I64" s="13">
        <v>4500</v>
      </c>
      <c r="J64" s="13"/>
      <c r="K64" s="13"/>
      <c r="L64" s="13"/>
    </row>
    <row r="65" spans="1:12">
      <c r="A65" s="13" t="s">
        <v>59</v>
      </c>
      <c r="B65" s="14">
        <v>46114</v>
      </c>
      <c r="C65" s="13" t="s">
        <v>60</v>
      </c>
      <c r="D65" s="13" t="s">
        <v>17</v>
      </c>
      <c r="E65" s="13" t="s">
        <v>63</v>
      </c>
      <c r="F65" s="13" t="s">
        <v>62</v>
      </c>
      <c r="G65" s="13">
        <v>1000</v>
      </c>
      <c r="H65" s="13">
        <v>42</v>
      </c>
      <c r="I65" s="13">
        <v>42000</v>
      </c>
      <c r="J65" s="13"/>
      <c r="K65" s="13"/>
      <c r="L65" s="13"/>
    </row>
    <row r="66" spans="1:12">
      <c r="A66" s="13" t="s">
        <v>274</v>
      </c>
      <c r="B66" s="14">
        <v>46115</v>
      </c>
      <c r="C66" s="13" t="s">
        <v>275</v>
      </c>
      <c r="D66" s="13" t="s">
        <v>17</v>
      </c>
      <c r="E66" s="13" t="s">
        <v>63</v>
      </c>
      <c r="F66" s="13" t="s">
        <v>62</v>
      </c>
      <c r="G66" s="13">
        <v>100</v>
      </c>
      <c r="H66" s="13">
        <v>35</v>
      </c>
      <c r="I66" s="13">
        <v>3500</v>
      </c>
      <c r="J66" s="13"/>
      <c r="K66" s="13"/>
      <c r="L66" s="13"/>
    </row>
    <row r="67" spans="1:12">
      <c r="A67" s="13" t="s">
        <v>274</v>
      </c>
      <c r="B67" s="14">
        <v>46115</v>
      </c>
      <c r="C67" s="13" t="s">
        <v>275</v>
      </c>
      <c r="D67" s="13" t="s">
        <v>17</v>
      </c>
      <c r="E67" s="13" t="s">
        <v>63</v>
      </c>
      <c r="F67" s="13" t="s">
        <v>62</v>
      </c>
      <c r="G67" s="13">
        <v>1000</v>
      </c>
      <c r="H67" s="13">
        <v>35</v>
      </c>
      <c r="I67" s="13">
        <v>35000</v>
      </c>
      <c r="J67" s="13"/>
      <c r="K67" s="13"/>
      <c r="L67" s="13"/>
    </row>
    <row r="68" spans="1:12">
      <c r="A68" s="13" t="s">
        <v>179</v>
      </c>
      <c r="B68" s="14">
        <v>46132</v>
      </c>
      <c r="C68" s="13" t="s">
        <v>60</v>
      </c>
      <c r="D68" s="13" t="s">
        <v>17</v>
      </c>
      <c r="E68" s="13" t="s">
        <v>63</v>
      </c>
      <c r="F68" s="13" t="s">
        <v>62</v>
      </c>
      <c r="G68" s="13">
        <v>800</v>
      </c>
      <c r="H68" s="13">
        <v>42</v>
      </c>
      <c r="I68" s="13">
        <v>33600</v>
      </c>
      <c r="J68" s="13">
        <f>SUM(G64:G68)</f>
        <v>3000</v>
      </c>
      <c r="K68" s="13"/>
      <c r="L68" s="13">
        <f>SUM(I64:I68)</f>
        <v>118600</v>
      </c>
    </row>
    <row r="69" spans="1:12">
      <c r="A69" s="13" t="s">
        <v>125</v>
      </c>
      <c r="B69" s="14">
        <v>46121</v>
      </c>
      <c r="C69" s="13" t="s">
        <v>103</v>
      </c>
      <c r="D69" s="13" t="s">
        <v>17</v>
      </c>
      <c r="E69" s="13" t="s">
        <v>73</v>
      </c>
      <c r="F69" s="13" t="s">
        <v>62</v>
      </c>
      <c r="G69" s="13">
        <v>200</v>
      </c>
      <c r="H69" s="13">
        <v>130</v>
      </c>
      <c r="I69" s="13">
        <v>26000</v>
      </c>
      <c r="J69" s="13"/>
      <c r="K69" s="13"/>
      <c r="L69" s="13"/>
    </row>
    <row r="70" spans="1:12">
      <c r="A70" s="13" t="s">
        <v>72</v>
      </c>
      <c r="B70" s="14">
        <v>46115</v>
      </c>
      <c r="C70" s="13" t="s">
        <v>67</v>
      </c>
      <c r="D70" s="13" t="s">
        <v>17</v>
      </c>
      <c r="E70" s="13" t="s">
        <v>73</v>
      </c>
      <c r="F70" s="13" t="s">
        <v>62</v>
      </c>
      <c r="G70" s="13">
        <v>2</v>
      </c>
      <c r="H70" s="13">
        <v>155</v>
      </c>
      <c r="I70" s="13">
        <v>310</v>
      </c>
      <c r="J70" s="13"/>
      <c r="K70" s="13"/>
      <c r="L70" s="13"/>
    </row>
    <row r="71" spans="1:12">
      <c r="A71" s="13" t="s">
        <v>72</v>
      </c>
      <c r="B71" s="14">
        <v>46115</v>
      </c>
      <c r="C71" s="13" t="s">
        <v>67</v>
      </c>
      <c r="D71" s="13" t="s">
        <v>17</v>
      </c>
      <c r="E71" s="13" t="s">
        <v>73</v>
      </c>
      <c r="F71" s="13" t="s">
        <v>62</v>
      </c>
      <c r="G71" s="13">
        <v>8</v>
      </c>
      <c r="H71" s="13">
        <v>155</v>
      </c>
      <c r="I71" s="13">
        <v>1240</v>
      </c>
      <c r="J71" s="13"/>
      <c r="K71" s="13"/>
      <c r="L71" s="13"/>
    </row>
    <row r="72" spans="1:12">
      <c r="A72" s="13" t="s">
        <v>155</v>
      </c>
      <c r="B72" s="14">
        <v>46127</v>
      </c>
      <c r="C72" s="13" t="s">
        <v>77</v>
      </c>
      <c r="D72" s="13" t="s">
        <v>17</v>
      </c>
      <c r="E72" s="13" t="s">
        <v>73</v>
      </c>
      <c r="F72" s="13" t="s">
        <v>62</v>
      </c>
      <c r="G72" s="13">
        <v>50</v>
      </c>
      <c r="H72" s="13">
        <v>140</v>
      </c>
      <c r="I72" s="13">
        <v>7000</v>
      </c>
      <c r="J72" s="13">
        <f>SUM(G69:G72)</f>
        <v>260</v>
      </c>
      <c r="K72" s="13"/>
      <c r="L72" s="13">
        <f>SUM(I69:I72)</f>
        <v>34550</v>
      </c>
    </row>
    <row r="73" spans="1:12">
      <c r="A73" s="13" t="s">
        <v>85</v>
      </c>
      <c r="B73" s="14">
        <v>46116</v>
      </c>
      <c r="C73" s="13" t="s">
        <v>86</v>
      </c>
      <c r="D73" s="13" t="s">
        <v>17</v>
      </c>
      <c r="E73" s="13" t="s">
        <v>89</v>
      </c>
      <c r="F73" s="13" t="s">
        <v>62</v>
      </c>
      <c r="G73" s="13">
        <v>150</v>
      </c>
      <c r="H73" s="13">
        <v>140</v>
      </c>
      <c r="I73" s="13">
        <v>21000</v>
      </c>
      <c r="J73" s="13">
        <f t="shared" ref="J73" si="7">+G73</f>
        <v>150</v>
      </c>
      <c r="K73" s="13"/>
      <c r="L73" s="13">
        <f t="shared" ref="L73" si="8">+I73</f>
        <v>21000</v>
      </c>
    </row>
    <row r="74" spans="1:12">
      <c r="A74" s="13" t="s">
        <v>291</v>
      </c>
      <c r="B74" s="14">
        <v>46132</v>
      </c>
      <c r="C74" s="13" t="s">
        <v>275</v>
      </c>
      <c r="D74" s="13" t="s">
        <v>17</v>
      </c>
      <c r="E74" s="13" t="s">
        <v>204</v>
      </c>
      <c r="F74" s="13" t="s">
        <v>62</v>
      </c>
      <c r="G74" s="13">
        <v>200</v>
      </c>
      <c r="H74" s="13">
        <v>95</v>
      </c>
      <c r="I74" s="13">
        <v>19000</v>
      </c>
      <c r="J74" s="13"/>
      <c r="K74" s="13"/>
      <c r="L74" s="13"/>
    </row>
    <row r="75" spans="1:12">
      <c r="A75" s="13" t="s">
        <v>298</v>
      </c>
      <c r="B75" s="14">
        <v>46137</v>
      </c>
      <c r="C75" s="13" t="s">
        <v>275</v>
      </c>
      <c r="D75" s="13" t="s">
        <v>17</v>
      </c>
      <c r="E75" s="13" t="s">
        <v>204</v>
      </c>
      <c r="F75" s="13" t="s">
        <v>62</v>
      </c>
      <c r="G75" s="13">
        <v>200</v>
      </c>
      <c r="H75" s="13">
        <v>95</v>
      </c>
      <c r="I75" s="13">
        <v>19000</v>
      </c>
      <c r="J75" s="13"/>
      <c r="K75" s="13"/>
      <c r="L75" s="13"/>
    </row>
    <row r="76" spans="1:12">
      <c r="A76" s="13" t="s">
        <v>299</v>
      </c>
      <c r="B76" s="14">
        <v>46140</v>
      </c>
      <c r="C76" s="13" t="s">
        <v>275</v>
      </c>
      <c r="D76" s="13" t="s">
        <v>17</v>
      </c>
      <c r="E76" s="13" t="s">
        <v>204</v>
      </c>
      <c r="F76" s="13" t="s">
        <v>62</v>
      </c>
      <c r="G76" s="13">
        <v>300</v>
      </c>
      <c r="H76" s="13">
        <v>95</v>
      </c>
      <c r="I76" s="13">
        <v>28500</v>
      </c>
      <c r="J76" s="13"/>
      <c r="K76" s="13"/>
      <c r="L76" s="13"/>
    </row>
    <row r="77" spans="1:12">
      <c r="A77" s="13" t="s">
        <v>276</v>
      </c>
      <c r="B77" s="14">
        <v>46116</v>
      </c>
      <c r="C77" s="13" t="s">
        <v>275</v>
      </c>
      <c r="D77" s="13" t="s">
        <v>17</v>
      </c>
      <c r="E77" s="13" t="s">
        <v>204</v>
      </c>
      <c r="F77" s="13" t="s">
        <v>62</v>
      </c>
      <c r="G77" s="13">
        <v>500</v>
      </c>
      <c r="H77" s="13">
        <v>95</v>
      </c>
      <c r="I77" s="13">
        <v>47500</v>
      </c>
      <c r="J77" s="13">
        <f>SUM(G74:G77)</f>
        <v>1200</v>
      </c>
      <c r="K77" s="13"/>
      <c r="L77" s="13">
        <f>SUM(I74:I77)</f>
        <v>114000</v>
      </c>
    </row>
    <row r="78" spans="1:12">
      <c r="A78" s="13" t="s">
        <v>172</v>
      </c>
      <c r="B78" s="14">
        <v>46130</v>
      </c>
      <c r="C78" s="13" t="s">
        <v>57</v>
      </c>
      <c r="D78" s="13" t="s">
        <v>17</v>
      </c>
      <c r="E78" s="13" t="s">
        <v>173</v>
      </c>
      <c r="F78" s="13" t="s">
        <v>62</v>
      </c>
      <c r="G78" s="13">
        <v>400</v>
      </c>
      <c r="H78" s="13">
        <v>95</v>
      </c>
      <c r="I78" s="13">
        <v>38000</v>
      </c>
      <c r="J78" s="13">
        <f t="shared" ref="J78" si="9">+G78</f>
        <v>400</v>
      </c>
      <c r="K78" s="13"/>
      <c r="L78" s="13">
        <f t="shared" ref="L78" si="10">+I78</f>
        <v>38000</v>
      </c>
    </row>
    <row r="79" spans="1:12">
      <c r="A79" s="13"/>
      <c r="B79" s="13"/>
      <c r="C79" s="13"/>
      <c r="D79" s="13"/>
      <c r="E79" s="13"/>
      <c r="F79" s="13"/>
      <c r="G79" s="12">
        <f>SUM(G4:G78)</f>
        <v>27910</v>
      </c>
      <c r="H79" s="12"/>
      <c r="I79" s="12">
        <f>SUM(I4:I78)</f>
        <v>2773800</v>
      </c>
      <c r="J79" s="12">
        <f>SUM(J4:J78)</f>
        <v>27910</v>
      </c>
      <c r="K79" s="12">
        <f>SUM(K4:K78)</f>
        <v>160</v>
      </c>
      <c r="L79" s="12">
        <f>SUM(L4:L78)</f>
        <v>2773800</v>
      </c>
    </row>
  </sheetData>
  <autoFilter ref="A3:I3">
    <sortState ref="A4:I68">
      <sortCondition ref="E3"/>
    </sortState>
  </autoFilter>
  <mergeCells count="2">
    <mergeCell ref="A1:I1"/>
    <mergeCell ref="A2:I2"/>
  </mergeCells>
  <pageMargins left="0.4" right="0.28000000000000003" top="0.33" bottom="0" header="0.3" footer="0.1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tawheed</vt:lpstr>
      <vt:lpstr>LTD</vt:lpstr>
      <vt:lpstr>UNI</vt:lpstr>
      <vt:lpstr>NOORVEX</vt:lpstr>
      <vt:lpstr>KEMTEX CMEMICALS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sanju</cp:lastModifiedBy>
  <cp:lastPrinted>2026-05-01T12:51:46Z</cp:lastPrinted>
  <dcterms:created xsi:type="dcterms:W3CDTF">2026-05-01T10:00:34Z</dcterms:created>
  <dcterms:modified xsi:type="dcterms:W3CDTF">2026-05-09T18:40:44Z</dcterms:modified>
</cp:coreProperties>
</file>